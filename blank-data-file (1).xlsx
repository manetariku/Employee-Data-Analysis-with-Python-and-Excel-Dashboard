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nz_staff" sheetId="1" r:id="rId1"/>
    <sheet name="India Staff" sheetId="2" r:id="rId2"/>
    <sheet name="all staff" sheetId="3" r:id="rId3"/>
    <sheet name="sales department" sheetId="5" r:id="rId4"/>
  </sheets>
  <definedNames>
    <definedName name="Slicer_country">#N/A</definedName>
    <definedName name="_xlnm._FilterDatabase" localSheetId="1" hidden="1">'India Staff'!$A$1:$G$93</definedName>
    <definedName name="_xlnm._FilterDatabase" localSheetId="0" hidden="1">nz_staff!$A$2:$G$102</definedName>
    <definedName name="_xlcn.WorksheetConnection_blankdatafile1.xlsxstaff1" hidden="1">staff[]</definedName>
    <definedName name="ExternalData_1" localSheetId="2" hidden="1">'all staff'!$A$1:$H$184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india_staff" description="Connection to the 'india_staff' query in the workbook." type="5" background="1" refreshedVersion="2" saveData="1">
    <dbPr connection="Provider=Microsoft.Mashup.OleDb.1;Data Source=$Workbook$;Location=india_staff;Extended Properties=&quot;&quot;" command="SELECT * FROM [india_staff]" commandType="2"/>
  </connection>
  <connection id="2" name="Query - nz_staff" description="Connection to the 'nz_staff' query in the workbook." type="5" background="1" refreshedVersion="2" saveData="1">
    <dbPr connection="Provider=Microsoft.Mashup.OleDb.1;Data Source=$Workbook$;Location=nz_staff;Extended Properties=&quot;&quot;" command="SELECT * FROM [nz_staff]" commandType="2"/>
  </connection>
  <connection id="3" name="Query - staff" description="Connection to the 'staff' query in the workbook." type="5" background="1" refreshedVersion="2" saveData="1">
    <dbPr connection="Provider=Microsoft.Mashup.OleDb.1;Data Source=$Workbook$;Location=staff;Extended Properties=&quot;&quot;" command="SELECT * FROM [staff]" commandType="2"/>
  </connection>
  <connection id="4" name="WorksheetConnection_blank-data-file (1).xlsx!staff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<sst xmlns="http://schemas.openxmlformats.org/spreadsheetml/2006/main" count="1765" uniqueCount="216">
  <si>
    <t>Employee Data</t>
  </si>
  <si>
    <t>Name</t>
  </si>
  <si>
    <t>Gender</t>
  </si>
  <si>
    <t>Department</t>
  </si>
  <si>
    <t>Age</t>
  </si>
  <si>
    <t>Date Joined</t>
  </si>
  <si>
    <t>Salary</t>
  </si>
  <si>
    <t>Rating</t>
  </si>
  <si>
    <t>Lindy Guillet</t>
  </si>
  <si>
    <t>Male</t>
  </si>
  <si>
    <t>Sales</t>
  </si>
  <si>
    <t>Above average</t>
  </si>
  <si>
    <t>Ambros Murthwaite</t>
  </si>
  <si>
    <t>Procurement</t>
  </si>
  <si>
    <t>Average</t>
  </si>
  <si>
    <t>Tatum Hush</t>
  </si>
  <si>
    <t>Female</t>
  </si>
  <si>
    <t>Benny Karolovsky</t>
  </si>
  <si>
    <t>Finance</t>
  </si>
  <si>
    <t>Poor</t>
  </si>
  <si>
    <t>Hoyt D'Alesco</t>
  </si>
  <si>
    <t>Halimeda Kuscha</t>
  </si>
  <si>
    <t>Erin Androsik</t>
  </si>
  <si>
    <t>Vic Radolf</t>
  </si>
  <si>
    <t>Website</t>
  </si>
  <si>
    <t>William Reeveley</t>
  </si>
  <si>
    <t>Ewart Laphorn</t>
  </si>
  <si>
    <t>HR</t>
  </si>
  <si>
    <t>Bev Lashley</t>
  </si>
  <si>
    <t>Kath Bletsoe</t>
  </si>
  <si>
    <t>Murry Dryburgh</t>
  </si>
  <si>
    <t>Kaine Padly</t>
  </si>
  <si>
    <t>Kassi Jonson</t>
  </si>
  <si>
    <t>Simon Kembery</t>
  </si>
  <si>
    <t>Orton Livick</t>
  </si>
  <si>
    <t>Kelci Walkden</t>
  </si>
  <si>
    <t>Dotty Strutley</t>
  </si>
  <si>
    <t>Shari McNee</t>
  </si>
  <si>
    <t>Oby Sorrel</t>
  </si>
  <si>
    <t>Husein Augar</t>
  </si>
  <si>
    <t>Brien Boise</t>
  </si>
  <si>
    <t>Esmaria Denecamp</t>
  </si>
  <si>
    <t>Curtice Advani</t>
  </si>
  <si>
    <t>Barr Faughny</t>
  </si>
  <si>
    <t>Exceptional</t>
  </si>
  <si>
    <t>Merrilee Plenty</t>
  </si>
  <si>
    <t>Niall Selesnick</t>
  </si>
  <si>
    <t>Beverie Moffet</t>
  </si>
  <si>
    <t>Jehu Rudeforth</t>
  </si>
  <si>
    <t>Camilla Castle</t>
  </si>
  <si>
    <t>Very poor</t>
  </si>
  <si>
    <t>Roddy Speechley</t>
  </si>
  <si>
    <t>Gray Seamon</t>
  </si>
  <si>
    <t>Madelene Upcott</t>
  </si>
  <si>
    <t>Violante Courtonne</t>
  </si>
  <si>
    <t>Bernie Gorges</t>
  </si>
  <si>
    <t>Torrance Collier</t>
  </si>
  <si>
    <t>Dyna Doucette</t>
  </si>
  <si>
    <t>Gunar Cockshoot</t>
  </si>
  <si>
    <t>Kaye Crocroft</t>
  </si>
  <si>
    <t>Allene Gobbet</t>
  </si>
  <si>
    <t>Sibyl Dunkirk</t>
  </si>
  <si>
    <t>Agnes Collicott</t>
  </si>
  <si>
    <t>Leilah Yesinin</t>
  </si>
  <si>
    <t>Mollie Hanway</t>
  </si>
  <si>
    <t>Kellsie Waby</t>
  </si>
  <si>
    <t>Hyacinthie Braybrooke</t>
  </si>
  <si>
    <t>Van Tuxwell</t>
  </si>
  <si>
    <t>Lilyan Klimpt</t>
  </si>
  <si>
    <t>Tawnya Tickel</t>
  </si>
  <si>
    <t>Jan Morforth</t>
  </si>
  <si>
    <t>Florinda Crace</t>
  </si>
  <si>
    <t>Tracy Renad</t>
  </si>
  <si>
    <t>Myer McCory</t>
  </si>
  <si>
    <t>Bennie Pepis</t>
  </si>
  <si>
    <t>Rafaelita Blaksland</t>
  </si>
  <si>
    <t>Mahalia Larcher</t>
  </si>
  <si>
    <t>Andria Kimpton</t>
  </si>
  <si>
    <t>Valentia Etteridge</t>
  </si>
  <si>
    <t>Virginia McConville</t>
  </si>
  <si>
    <t>Wilone O'Kielt</t>
  </si>
  <si>
    <t>Madge McCloughen</t>
  </si>
  <si>
    <t>Janene Hairsine</t>
  </si>
  <si>
    <t>Alta Kaszper</t>
  </si>
  <si>
    <t>Dennison Crosswaite</t>
  </si>
  <si>
    <t>Oran Buxcy</t>
  </si>
  <si>
    <t>Hinda Label</t>
  </si>
  <si>
    <t>Marney O'Breen</t>
  </si>
  <si>
    <t>Dell Molloy</t>
  </si>
  <si>
    <t>Mallorie Waber</t>
  </si>
  <si>
    <t>Cherlyn Barter</t>
  </si>
  <si>
    <t>Ches Bonnell</t>
  </si>
  <si>
    <t>Collin Jagson</t>
  </si>
  <si>
    <t>Hogan Iles</t>
  </si>
  <si>
    <t>Gretchen Callow</t>
  </si>
  <si>
    <t>Kissiah Maydway</t>
  </si>
  <si>
    <t>Archibald Filliskirk</t>
  </si>
  <si>
    <t>Enoch Dowrey</t>
  </si>
  <si>
    <t>Bili Sizey</t>
  </si>
  <si>
    <t>Caro Chappel</t>
  </si>
  <si>
    <t>Constantino Espley</t>
  </si>
  <si>
    <t>Karlen McCaffrey</t>
  </si>
  <si>
    <t>Drusy MacCombe</t>
  </si>
  <si>
    <t>My Hanscome</t>
  </si>
  <si>
    <t>Teressa Udden</t>
  </si>
  <si>
    <t>Crissie Cordel</t>
  </si>
  <si>
    <t>Elia Cockton</t>
  </si>
  <si>
    <t>Gigi Bohling</t>
  </si>
  <si>
    <t>Ebonee Roxburgh</t>
  </si>
  <si>
    <t>Shayne Stegel</t>
  </si>
  <si>
    <t>Zach Polon</t>
  </si>
  <si>
    <t>Total</t>
  </si>
  <si>
    <t>Deepali Charan</t>
  </si>
  <si>
    <t>Yagna Sujeev</t>
  </si>
  <si>
    <t>Satyendra Venkatadri</t>
  </si>
  <si>
    <t>Madhavdas Buhpathi</t>
  </si>
  <si>
    <t>Sahila Chandrasekhar</t>
  </si>
  <si>
    <t>Mirium Seemantini Shivakumar</t>
  </si>
  <si>
    <t>Purnendu Vijayarangan</t>
  </si>
  <si>
    <t>Rukma Vinita</t>
  </si>
  <si>
    <t>Yauvani Tarpa</t>
  </si>
  <si>
    <t>Damayanti Thangavadivelu</t>
  </si>
  <si>
    <t>Manjusri Ruchi</t>
  </si>
  <si>
    <t>Mithil Nadkarni</t>
  </si>
  <si>
    <t>Ardhendu Abhichandra Jayakar</t>
  </si>
  <si>
    <t>Akbar Sorabhjee</t>
  </si>
  <si>
    <t>Bandhula Sathyanna</t>
  </si>
  <si>
    <t>Daruka Ghazali</t>
  </si>
  <si>
    <t>Heer Pennathur</t>
  </si>
  <si>
    <t>Shekhar Eswara</t>
  </si>
  <si>
    <t>Udyan Lanka</t>
  </si>
  <si>
    <t>Shreela Ramasubraman</t>
  </si>
  <si>
    <t>Sanchali Shirish</t>
  </si>
  <si>
    <t>Gangadutt Ragha</t>
  </si>
  <si>
    <t>Waheeda Vasuman</t>
  </si>
  <si>
    <t>Nanak Sapna</t>
  </si>
  <si>
    <t>Shobhana Samuel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</si>
  <si>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</si>
  <si>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</si>
  <si>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</si>
  <si>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</si>
  <si>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</si>
  <si>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</si>
  <si>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</si>
  <si>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</si>
  <si>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</si>
  <si>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</si>
  <si>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</si>
  <si>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</si>
  <si>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</si>
  <si>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</si>
  <si>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</si>
  <si>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</si>
  <si>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</si>
  <si>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</si>
  <si>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</si>
  <si>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</si>
  <si>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</si>
  <si>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</si>
  <si>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</si>
  <si>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</si>
  <si>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</si>
  <si>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</si>
  <si>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</si>
  <si>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</si>
  <si>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</si>
  <si>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</si>
  <si>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</si>
  <si>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</si>
  <si>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</si>
  <si>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</si>
  <si>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</si>
  <si>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</si>
  <si>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</si>
  <si>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</si>
  <si>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</si>
  <si>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</si>
  <si>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</si>
  <si>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</si>
  <si>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</si>
  <si>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</si>
  <si>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</si>
  <si>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</si>
  <si>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</si>
  <si>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</si>
  <si>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</si>
  <si>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</si>
  <si>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</si>
  <si>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</si>
  <si>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</si>
  <si>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</si>
  <si>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</si>
  <si>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</si>
  <si>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</si>
  <si>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</si>
  <si>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Abhaya Priyavardhan</t>
  </si>
  <si>
    <t>Ayog Chakrabarti</t>
  </si>
  <si>
    <t>Pragya Nilufar</t>
  </si>
  <si>
    <t>Shulabh Qutub Sundaramoorthy</t>
  </si>
  <si>
    <t>Vinanti Choudhari</t>
  </si>
  <si>
    <t>Ranajay Kailashnath Richa</t>
  </si>
  <si>
    <t>Asija Pothireddy</t>
  </si>
  <si>
    <t>Piyali Mahanthapa</t>
  </si>
  <si>
    <t>Sukhdev Nageshwar</t>
  </si>
  <si>
    <t>country</t>
  </si>
  <si>
    <t>tenure</t>
  </si>
  <si>
    <t>india</t>
  </si>
  <si>
    <t>nz</t>
  </si>
  <si>
    <t>count of employees</t>
  </si>
  <si>
    <t>average salary</t>
  </si>
  <si>
    <t>average age</t>
  </si>
  <si>
    <t>average tenure</t>
  </si>
  <si>
    <t>female count</t>
  </si>
  <si>
    <t>female ratio</t>
  </si>
  <si>
    <t>other</t>
  </si>
  <si>
    <t>barr faughny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</si>
</sst>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.0_);_(&quot;$&quot;* \(#,##0.0\);_(&quot;$&quot;* &quot;-&quot;??_);_(@_)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28"/>
      <color theme="1"/>
      <name val="Segoe UI Ligh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78" fontId="1" fillId="2" borderId="2" xfId="2" applyNumberFormat="1" applyFont="1" applyFill="1" applyBorder="1"/>
    <xf numFmtId="0" fontId="0" fillId="3" borderId="1" xfId="0" applyNumberFormat="1" applyFont="1" applyFill="1" applyBorder="1"/>
    <xf numFmtId="0" fontId="0" fillId="3" borderId="2" xfId="0" applyFont="1" applyFill="1" applyBorder="1"/>
    <xf numFmtId="178" fontId="0" fillId="3" borderId="2" xfId="2" applyNumberFormat="1" applyFont="1" applyFill="1" applyBorder="1"/>
    <xf numFmtId="0" fontId="0" fillId="0" borderId="1" xfId="0" applyNumberFormat="1" applyFont="1" applyBorder="1"/>
    <xf numFmtId="0" fontId="0" fillId="0" borderId="2" xfId="0" applyFont="1" applyBorder="1"/>
    <xf numFmtId="178" fontId="0" fillId="0" borderId="2" xfId="2" applyNumberFormat="1" applyFont="1" applyBorder="1"/>
    <xf numFmtId="178" fontId="0" fillId="0" borderId="0" xfId="2" applyNumberFormat="1" applyFont="1"/>
    <xf numFmtId="0" fontId="0" fillId="0" borderId="0" xfId="0" applyNumberFormat="1"/>
    <xf numFmtId="58" fontId="0" fillId="0" borderId="0" xfId="0" applyNumberFormat="1"/>
    <xf numFmtId="2" fontId="0" fillId="0" borderId="0" xfId="0" applyNumberFormat="1"/>
    <xf numFmtId="9" fontId="0" fillId="0" borderId="0" xfId="3" applyFont="1"/>
    <xf numFmtId="15" fontId="0" fillId="0" borderId="0" xfId="0" applyNumberFormat="1"/>
    <xf numFmtId="0" fontId="0" fillId="4" borderId="0" xfId="0" applyFill="1"/>
    <xf numFmtId="8" fontId="0" fillId="0" borderId="0" xfId="0" applyNumberFormat="1"/>
    <xf numFmtId="0" fontId="2" fillId="4" borderId="0" xfId="0" applyFont="1" applyFill="1" applyAlignment="1">
      <alignment vertical="center"/>
    </xf>
    <xf numFmtId="8" fontId="0" fillId="4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8" formatCode="&quot;$&quot;#,##0.00_);[Red]\(&quot;$&quot;#,##0.00\)"/>
    </dxf>
    <dxf>
      <numFmt numFmtId="15" formatCode="d\-mmm\-yy"/>
    </dxf>
    <dxf>
      <numFmt numFmtId="0" formatCode="General"/>
    </dxf>
    <dxf>
      <numFmt numFmtId="0" formatCode="General"/>
    </dxf>
    <dxf>
      <numFmt numFmtId="58" formatCode="m/d/yyyy"/>
    </dxf>
    <dxf>
      <numFmt numFmtId="0" formatCode="General"/>
    </dxf>
    <dxf>
      <numFmt numFmtId="178" formatCode="_(&quot;$&quot;* #,##0.0_);_(&quot;$&quot;* \(#,##0.0\);_(&quot;$&quot;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>
  <queryTableRefresh preserveSortFilterLayout="1" nextId="9">
    <queryTableFields count="8">
      <queryTableField id="1" name="Name" tableColumnId="1"/>
      <queryTableField id="2" name="Gender" tableColumnId="2"/>
      <queryTableField id="3" name="Age" tableColumnId="3"/>
      <queryTableField id="4" name="Rating" tableColumnId="4"/>
      <queryTableField id="5" name="Date Joined" tableColumnId="5"/>
      <queryTableField id="6" name="Department" tableColumnId="6"/>
      <queryTableField id="7" name="Salary" tableColumnId="7"/>
      <queryTableField id="8" name="country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2:G103" totalsRowCount="1">
  <autoFilter xmlns:etc="http://www.wps.cn/officeDocument/2017/etCustomData" ref="A2:G102" etc:filterBottomFollowUsedRange="0"/>
  <tableColumns count="7">
    <tableColumn id="1" name="Name" totalsRowLabel="Total"/>
    <tableColumn id="2" name="Gender"/>
    <tableColumn id="3" name="Department"/>
    <tableColumn id="4" name="Age" totalsRowFunction="average"/>
    <tableColumn id="5" name="Date Joined"/>
    <tableColumn id="6" name="Salary" dataDxfId="0" totalsRowFunction="average"/>
    <tableColumn id="7" name="Rating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93" totalsRowShown="0">
  <autoFilter xmlns:etc="http://www.wps.cn/officeDocument/2017/etCustomData" ref="A1:G93" etc:filterBottomFollowUsedRange="0"/>
  <tableColumns count="7">
    <tableColumn id="1" name="Name"/>
    <tableColumn id="2" name="Gender"/>
    <tableColumn id="3" name="Age"/>
    <tableColumn id="4" name="Rating"/>
    <tableColumn id="5" name="Date Joined" dataDxfId="1"/>
    <tableColumn id="6" name="Department"/>
    <tableColumn id="7" name="Salary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staff" displayName="staff" ref="A1:I184" tableType="queryTable" totalsRowShown="0">
  <autoFilter xmlns:etc="http://www.wps.cn/officeDocument/2017/etCustomData" ref="A1:I184" etc:filterBottomFollowUsedRange="0">
    <filterColumn colId="5">
      <customFilters>
        <customFilter operator="equal" val="Sales"/>
      </customFilters>
    </filterColumn>
  </autoFilter>
  <sortState ref="A1:I184">
    <sortCondition ref="G1:G184" descending="1"/>
  </sortState>
  <tableColumns count="9">
    <tableColumn id="1" name="Name" uniqueName="1" queryTableFieldId="1" dataDxfId="2"/>
    <tableColumn id="2" name="Gender" uniqueName="2" queryTableFieldId="2" dataDxfId="3"/>
    <tableColumn id="3" name="Age" uniqueName="3" queryTableFieldId="3"/>
    <tableColumn id="4" name="Rating" uniqueName="4" queryTableFieldId="4"/>
    <tableColumn id="5" name="Date Joined" uniqueName="5" queryTableFieldId="5" dataDxfId="4"/>
    <tableColumn id="6" name="Department" uniqueName="6" queryTableFieldId="6" dataDxfId="5"/>
    <tableColumn id="7" name="Salary" uniqueName="7" queryTableFieldId="7" dataDxfId="6"/>
    <tableColumn id="8" name="country" uniqueName="8" queryTableFieldId="8"/>
    <tableColumn id="9" name="tenure" uniqueName="9" queryTableFieldId="9" dataDxfId="7">
      <calculatedColumnFormula>(TODAY()-E:E)/360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workbookViewId="0">
      <selection activeCell="B93" sqref="B93"/>
    </sheetView>
  </sheetViews>
  <sheetFormatPr defaultColWidth="9" defaultRowHeight="14.5" outlineLevelCol="6"/>
  <cols>
    <col min="1" max="1" width="34.4545454545455" customWidth="1"/>
    <col min="2" max="2" width="9" customWidth="1"/>
    <col min="3" max="3" width="13.1818181818182" customWidth="1"/>
    <col min="5" max="5" width="12.8181818181818" customWidth="1"/>
    <col min="6" max="6" width="11.4545454545455" style="17" customWidth="1"/>
    <col min="7" max="7" width="13.1818181818182" customWidth="1"/>
  </cols>
  <sheetData>
    <row r="1" s="16" customFormat="1" ht="52.5" customHeight="1" spans="1:6">
      <c r="A1" s="18" t="s">
        <v>0</v>
      </c>
      <c r="F1" s="19"/>
    </row>
    <row r="2" spans="1:7">
      <c r="A2" t="s">
        <v>1</v>
      </c>
      <c r="B2" t="s">
        <v>2</v>
      </c>
      <c r="C2" t="s">
        <v>3</v>
      </c>
      <c r="D2" t="s">
        <v>4</v>
      </c>
      <c r="E2" s="15" t="s">
        <v>5</v>
      </c>
      <c r="F2" s="17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>
        <v>22</v>
      </c>
      <c r="E3" s="15">
        <v>44446</v>
      </c>
      <c r="F3" s="17">
        <v>112780</v>
      </c>
      <c r="G3" t="s">
        <v>11</v>
      </c>
    </row>
    <row r="4" spans="1:7">
      <c r="A4" t="s">
        <v>12</v>
      </c>
      <c r="B4" t="s">
        <v>9</v>
      </c>
      <c r="C4" t="s">
        <v>13</v>
      </c>
      <c r="D4">
        <v>46</v>
      </c>
      <c r="E4" s="15">
        <v>44758</v>
      </c>
      <c r="F4" s="17">
        <v>70610</v>
      </c>
      <c r="G4" t="s">
        <v>14</v>
      </c>
    </row>
    <row r="5" spans="1:7">
      <c r="A5" t="s">
        <v>15</v>
      </c>
      <c r="B5" t="s">
        <v>16</v>
      </c>
      <c r="C5" t="s">
        <v>10</v>
      </c>
      <c r="D5">
        <v>28</v>
      </c>
      <c r="E5" s="15">
        <v>44357</v>
      </c>
      <c r="F5" s="17">
        <v>53240</v>
      </c>
      <c r="G5" t="s">
        <v>14</v>
      </c>
    </row>
    <row r="6" spans="1:7">
      <c r="A6" t="s">
        <v>17</v>
      </c>
      <c r="C6" t="s">
        <v>18</v>
      </c>
      <c r="D6">
        <v>37</v>
      </c>
      <c r="E6" s="15">
        <v>44146</v>
      </c>
      <c r="F6" s="17">
        <v>115440</v>
      </c>
      <c r="G6" t="s">
        <v>19</v>
      </c>
    </row>
    <row r="7" spans="1:7">
      <c r="A7" t="s">
        <v>20</v>
      </c>
      <c r="B7" t="s">
        <v>9</v>
      </c>
      <c r="C7" t="s">
        <v>10</v>
      </c>
      <c r="D7">
        <v>32</v>
      </c>
      <c r="E7" s="15">
        <v>44465</v>
      </c>
      <c r="F7" s="17">
        <v>53540</v>
      </c>
      <c r="G7" t="s">
        <v>14</v>
      </c>
    </row>
    <row r="8" spans="1:7">
      <c r="A8" t="s">
        <v>21</v>
      </c>
      <c r="B8" t="s">
        <v>16</v>
      </c>
      <c r="C8" t="s">
        <v>13</v>
      </c>
      <c r="D8">
        <v>30</v>
      </c>
      <c r="E8" s="15">
        <v>44861</v>
      </c>
      <c r="F8" s="17">
        <v>112570</v>
      </c>
      <c r="G8" t="s">
        <v>14</v>
      </c>
    </row>
    <row r="9" spans="1:7">
      <c r="A9" t="s">
        <v>22</v>
      </c>
      <c r="B9" t="s">
        <v>9</v>
      </c>
      <c r="C9" t="s">
        <v>13</v>
      </c>
      <c r="D9">
        <v>33</v>
      </c>
      <c r="E9" s="15">
        <v>44701</v>
      </c>
      <c r="F9" s="17">
        <v>48530</v>
      </c>
      <c r="G9" t="s">
        <v>11</v>
      </c>
    </row>
    <row r="10" spans="1:7">
      <c r="A10" t="s">
        <v>23</v>
      </c>
      <c r="B10" t="s">
        <v>16</v>
      </c>
      <c r="C10" t="s">
        <v>24</v>
      </c>
      <c r="D10">
        <v>24</v>
      </c>
      <c r="E10" s="15">
        <v>44148</v>
      </c>
      <c r="F10" s="17">
        <v>62780</v>
      </c>
      <c r="G10" t="s">
        <v>14</v>
      </c>
    </row>
    <row r="11" spans="1:7">
      <c r="A11" t="s">
        <v>25</v>
      </c>
      <c r="B11" t="s">
        <v>9</v>
      </c>
      <c r="C11" t="s">
        <v>24</v>
      </c>
      <c r="D11">
        <v>33</v>
      </c>
      <c r="E11" s="15">
        <v>44509</v>
      </c>
      <c r="F11" s="17">
        <v>53870</v>
      </c>
      <c r="G11" t="s">
        <v>14</v>
      </c>
    </row>
    <row r="12" spans="1:7">
      <c r="A12" t="s">
        <v>26</v>
      </c>
      <c r="B12" t="s">
        <v>16</v>
      </c>
      <c r="C12" t="s">
        <v>27</v>
      </c>
      <c r="D12">
        <v>27</v>
      </c>
      <c r="E12" s="15">
        <v>44122</v>
      </c>
      <c r="F12" s="17">
        <v>119110</v>
      </c>
      <c r="G12" t="s">
        <v>14</v>
      </c>
    </row>
    <row r="13" spans="1:7">
      <c r="A13" t="s">
        <v>28</v>
      </c>
      <c r="B13" t="s">
        <v>9</v>
      </c>
      <c r="C13" t="s">
        <v>24</v>
      </c>
      <c r="D13">
        <v>29</v>
      </c>
      <c r="E13" s="15">
        <v>44180</v>
      </c>
      <c r="F13" s="17">
        <v>112110</v>
      </c>
      <c r="G13" t="s">
        <v>19</v>
      </c>
    </row>
    <row r="14" spans="1:7">
      <c r="A14" t="s">
        <v>29</v>
      </c>
      <c r="B14" t="s">
        <v>9</v>
      </c>
      <c r="C14" t="s">
        <v>10</v>
      </c>
      <c r="D14">
        <v>25</v>
      </c>
      <c r="E14" s="15">
        <v>44383</v>
      </c>
      <c r="F14" s="17">
        <v>65700</v>
      </c>
      <c r="G14" t="s">
        <v>14</v>
      </c>
    </row>
    <row r="15" spans="1:7">
      <c r="A15" t="s">
        <v>30</v>
      </c>
      <c r="B15" t="s">
        <v>9</v>
      </c>
      <c r="C15" t="s">
        <v>24</v>
      </c>
      <c r="D15">
        <v>37</v>
      </c>
      <c r="E15" s="15">
        <v>44701</v>
      </c>
      <c r="F15" s="17">
        <v>69070</v>
      </c>
      <c r="G15" t="s">
        <v>14</v>
      </c>
    </row>
    <row r="16" spans="1:7">
      <c r="A16" t="s">
        <v>31</v>
      </c>
      <c r="B16" t="s">
        <v>9</v>
      </c>
      <c r="C16" t="s">
        <v>24</v>
      </c>
      <c r="D16">
        <v>20</v>
      </c>
      <c r="E16" s="15">
        <v>44459</v>
      </c>
      <c r="F16" s="17">
        <v>107700</v>
      </c>
      <c r="G16" t="s">
        <v>14</v>
      </c>
    </row>
    <row r="17" spans="1:7">
      <c r="A17" t="s">
        <v>32</v>
      </c>
      <c r="B17" t="s">
        <v>16</v>
      </c>
      <c r="C17" t="s">
        <v>24</v>
      </c>
      <c r="D17">
        <v>32</v>
      </c>
      <c r="E17" s="15">
        <v>44354</v>
      </c>
      <c r="F17" s="17">
        <v>43840</v>
      </c>
      <c r="G17" t="s">
        <v>11</v>
      </c>
    </row>
    <row r="18" spans="1:7">
      <c r="A18" t="s">
        <v>33</v>
      </c>
      <c r="B18" t="s">
        <v>9</v>
      </c>
      <c r="C18" t="s">
        <v>13</v>
      </c>
      <c r="D18">
        <v>40</v>
      </c>
      <c r="E18" s="15">
        <v>44263</v>
      </c>
      <c r="F18" s="17">
        <v>99750</v>
      </c>
      <c r="G18" t="s">
        <v>14</v>
      </c>
    </row>
    <row r="19" spans="1:7">
      <c r="A19" t="s">
        <v>34</v>
      </c>
      <c r="B19" t="s">
        <v>9</v>
      </c>
      <c r="C19" t="s">
        <v>13</v>
      </c>
      <c r="D19">
        <v>21</v>
      </c>
      <c r="E19" s="15">
        <v>44104</v>
      </c>
      <c r="F19" s="17">
        <v>37920</v>
      </c>
      <c r="G19" t="s">
        <v>14</v>
      </c>
    </row>
    <row r="20" spans="1:7">
      <c r="A20" t="s">
        <v>35</v>
      </c>
      <c r="B20" t="s">
        <v>9</v>
      </c>
      <c r="C20" t="s">
        <v>13</v>
      </c>
      <c r="D20">
        <v>21</v>
      </c>
      <c r="E20" s="15">
        <v>44762</v>
      </c>
      <c r="F20" s="17">
        <v>57090</v>
      </c>
      <c r="G20" t="s">
        <v>14</v>
      </c>
    </row>
    <row r="21" spans="1:7">
      <c r="A21" t="s">
        <v>36</v>
      </c>
      <c r="B21" t="s">
        <v>16</v>
      </c>
      <c r="C21" t="s">
        <v>24</v>
      </c>
      <c r="D21">
        <v>31</v>
      </c>
      <c r="E21" s="15">
        <v>44145</v>
      </c>
      <c r="F21" s="17">
        <v>41980</v>
      </c>
      <c r="G21" t="s">
        <v>14</v>
      </c>
    </row>
    <row r="22" spans="1:7">
      <c r="A22" t="s">
        <v>37</v>
      </c>
      <c r="B22" t="s">
        <v>9</v>
      </c>
      <c r="C22" t="s">
        <v>27</v>
      </c>
      <c r="D22">
        <v>21</v>
      </c>
      <c r="E22" s="15">
        <v>44242</v>
      </c>
      <c r="F22" s="17">
        <v>75880</v>
      </c>
      <c r="G22" t="s">
        <v>14</v>
      </c>
    </row>
    <row r="23" spans="1:7">
      <c r="A23" t="s">
        <v>38</v>
      </c>
      <c r="B23" t="s">
        <v>16</v>
      </c>
      <c r="C23" t="s">
        <v>18</v>
      </c>
      <c r="D23">
        <v>34</v>
      </c>
      <c r="E23" s="15">
        <v>44653</v>
      </c>
      <c r="F23" s="17">
        <v>58940</v>
      </c>
      <c r="G23" t="s">
        <v>14</v>
      </c>
    </row>
    <row r="24" spans="1:7">
      <c r="A24" t="s">
        <v>39</v>
      </c>
      <c r="B24" t="s">
        <v>16</v>
      </c>
      <c r="C24" t="s">
        <v>18</v>
      </c>
      <c r="D24">
        <v>30</v>
      </c>
      <c r="E24" s="15">
        <v>44389</v>
      </c>
      <c r="F24" s="17">
        <v>67910</v>
      </c>
      <c r="G24" t="s">
        <v>19</v>
      </c>
    </row>
    <row r="25" spans="1:7">
      <c r="A25" t="s">
        <v>40</v>
      </c>
      <c r="B25" t="s">
        <v>16</v>
      </c>
      <c r="C25" t="s">
        <v>24</v>
      </c>
      <c r="D25">
        <v>31</v>
      </c>
      <c r="E25" s="15">
        <v>44663</v>
      </c>
      <c r="F25" s="17">
        <v>58100</v>
      </c>
      <c r="G25" t="s">
        <v>14</v>
      </c>
    </row>
    <row r="26" spans="1:7">
      <c r="A26" t="s">
        <v>41</v>
      </c>
      <c r="B26" t="s">
        <v>9</v>
      </c>
      <c r="C26" t="s">
        <v>18</v>
      </c>
      <c r="D26">
        <v>27</v>
      </c>
      <c r="E26" s="15">
        <v>44567</v>
      </c>
      <c r="F26" s="17">
        <v>48980</v>
      </c>
      <c r="G26" t="s">
        <v>14</v>
      </c>
    </row>
    <row r="27" spans="1:7">
      <c r="A27" t="s">
        <v>42</v>
      </c>
      <c r="C27" t="s">
        <v>18</v>
      </c>
      <c r="D27">
        <v>30</v>
      </c>
      <c r="E27" s="15">
        <v>44597</v>
      </c>
      <c r="F27" s="17">
        <v>64000</v>
      </c>
      <c r="G27" t="s">
        <v>14</v>
      </c>
    </row>
    <row r="28" spans="1:7">
      <c r="A28" t="s">
        <v>43</v>
      </c>
      <c r="B28" t="s">
        <v>16</v>
      </c>
      <c r="C28" t="s">
        <v>13</v>
      </c>
      <c r="D28">
        <v>42</v>
      </c>
      <c r="E28" s="15">
        <v>44779</v>
      </c>
      <c r="F28" s="17">
        <v>75000</v>
      </c>
      <c r="G28" t="s">
        <v>44</v>
      </c>
    </row>
    <row r="29" spans="1:7">
      <c r="A29" t="s">
        <v>45</v>
      </c>
      <c r="B29" t="s">
        <v>16</v>
      </c>
      <c r="C29" t="s">
        <v>24</v>
      </c>
      <c r="D29">
        <v>40</v>
      </c>
      <c r="E29" s="15">
        <v>44337</v>
      </c>
      <c r="F29" s="17">
        <v>87620</v>
      </c>
      <c r="G29" t="s">
        <v>14</v>
      </c>
    </row>
    <row r="30" spans="1:7">
      <c r="A30" t="s">
        <v>46</v>
      </c>
      <c r="B30" t="s">
        <v>16</v>
      </c>
      <c r="C30" t="s">
        <v>24</v>
      </c>
      <c r="D30">
        <v>29</v>
      </c>
      <c r="E30" s="15">
        <v>44023</v>
      </c>
      <c r="F30" s="17">
        <v>34980</v>
      </c>
      <c r="G30" t="s">
        <v>14</v>
      </c>
    </row>
    <row r="31" spans="1:7">
      <c r="A31" t="s">
        <v>47</v>
      </c>
      <c r="B31" t="s">
        <v>16</v>
      </c>
      <c r="C31" t="s">
        <v>18</v>
      </c>
      <c r="D31">
        <v>28</v>
      </c>
      <c r="E31" s="15">
        <v>44185</v>
      </c>
      <c r="F31" s="17">
        <v>75970</v>
      </c>
      <c r="G31" t="s">
        <v>14</v>
      </c>
    </row>
    <row r="32" spans="1:7">
      <c r="A32" t="s">
        <v>48</v>
      </c>
      <c r="B32" t="s">
        <v>16</v>
      </c>
      <c r="C32" t="s">
        <v>18</v>
      </c>
      <c r="D32">
        <v>34</v>
      </c>
      <c r="E32" s="15">
        <v>44612</v>
      </c>
      <c r="F32" s="17">
        <v>60130</v>
      </c>
      <c r="G32" t="s">
        <v>14</v>
      </c>
    </row>
    <row r="33" spans="1:7">
      <c r="A33" t="s">
        <v>49</v>
      </c>
      <c r="B33" t="s">
        <v>16</v>
      </c>
      <c r="C33" t="s">
        <v>24</v>
      </c>
      <c r="D33">
        <v>33</v>
      </c>
      <c r="E33" s="15">
        <v>44374</v>
      </c>
      <c r="F33" s="17">
        <v>75480</v>
      </c>
      <c r="G33" t="s">
        <v>50</v>
      </c>
    </row>
    <row r="34" spans="1:7">
      <c r="A34" t="s">
        <v>51</v>
      </c>
      <c r="B34" t="s">
        <v>9</v>
      </c>
      <c r="C34" t="s">
        <v>13</v>
      </c>
      <c r="D34">
        <v>33</v>
      </c>
      <c r="E34" s="15">
        <v>44164</v>
      </c>
      <c r="F34" s="17">
        <v>115920</v>
      </c>
      <c r="G34" t="s">
        <v>14</v>
      </c>
    </row>
    <row r="35" spans="1:7">
      <c r="A35" t="s">
        <v>52</v>
      </c>
      <c r="B35" t="s">
        <v>16</v>
      </c>
      <c r="C35" t="s">
        <v>10</v>
      </c>
      <c r="D35">
        <v>36</v>
      </c>
      <c r="E35" s="15">
        <v>44494</v>
      </c>
      <c r="F35" s="17">
        <v>78540</v>
      </c>
      <c r="G35" t="s">
        <v>14</v>
      </c>
    </row>
    <row r="36" spans="1:7">
      <c r="A36" t="s">
        <v>53</v>
      </c>
      <c r="B36" t="s">
        <v>9</v>
      </c>
      <c r="C36" t="s">
        <v>13</v>
      </c>
      <c r="D36">
        <v>25</v>
      </c>
      <c r="E36" s="15">
        <v>44726</v>
      </c>
      <c r="F36" s="17">
        <v>109190</v>
      </c>
      <c r="G36" t="s">
        <v>11</v>
      </c>
    </row>
    <row r="37" spans="1:7">
      <c r="A37" t="s">
        <v>54</v>
      </c>
      <c r="B37" t="s">
        <v>16</v>
      </c>
      <c r="C37" t="s">
        <v>10</v>
      </c>
      <c r="D37">
        <v>34</v>
      </c>
      <c r="E37" s="15">
        <v>44721</v>
      </c>
      <c r="F37" s="17">
        <v>49630</v>
      </c>
      <c r="G37" t="s">
        <v>19</v>
      </c>
    </row>
    <row r="38" spans="1:7">
      <c r="A38" t="s">
        <v>55</v>
      </c>
      <c r="B38" t="s">
        <v>16</v>
      </c>
      <c r="C38" t="s">
        <v>13</v>
      </c>
      <c r="D38">
        <v>28</v>
      </c>
      <c r="E38" s="15">
        <v>44630</v>
      </c>
      <c r="F38" s="17">
        <v>99970</v>
      </c>
      <c r="G38" t="s">
        <v>14</v>
      </c>
    </row>
    <row r="39" spans="1:7">
      <c r="A39" t="s">
        <v>56</v>
      </c>
      <c r="B39" t="s">
        <v>16</v>
      </c>
      <c r="C39" t="s">
        <v>24</v>
      </c>
      <c r="D39">
        <v>33</v>
      </c>
      <c r="E39" s="15">
        <v>44190</v>
      </c>
      <c r="F39" s="17">
        <v>96140</v>
      </c>
      <c r="G39" t="s">
        <v>14</v>
      </c>
    </row>
    <row r="40" spans="1:7">
      <c r="A40" t="s">
        <v>57</v>
      </c>
      <c r="B40" t="s">
        <v>9</v>
      </c>
      <c r="C40" t="s">
        <v>13</v>
      </c>
      <c r="D40">
        <v>31</v>
      </c>
      <c r="E40" s="15">
        <v>44724</v>
      </c>
      <c r="F40" s="17">
        <v>103550</v>
      </c>
      <c r="G40" t="s">
        <v>14</v>
      </c>
    </row>
    <row r="41" spans="1:7">
      <c r="A41" t="s">
        <v>58</v>
      </c>
      <c r="B41" t="s">
        <v>9</v>
      </c>
      <c r="C41" t="s">
        <v>24</v>
      </c>
      <c r="D41">
        <v>31</v>
      </c>
      <c r="E41" s="15">
        <v>44511</v>
      </c>
      <c r="F41" s="17">
        <v>48950</v>
      </c>
      <c r="G41" t="s">
        <v>14</v>
      </c>
    </row>
    <row r="42" spans="1:7">
      <c r="A42" t="s">
        <v>59</v>
      </c>
      <c r="B42" t="s">
        <v>9</v>
      </c>
      <c r="C42" t="s">
        <v>18</v>
      </c>
      <c r="D42">
        <v>24</v>
      </c>
      <c r="E42" s="15">
        <v>44436</v>
      </c>
      <c r="F42" s="17">
        <v>52610</v>
      </c>
      <c r="G42" t="s">
        <v>19</v>
      </c>
    </row>
    <row r="43" spans="1:7">
      <c r="A43" t="s">
        <v>60</v>
      </c>
      <c r="B43" t="s">
        <v>16</v>
      </c>
      <c r="C43" t="s">
        <v>13</v>
      </c>
      <c r="D43">
        <v>36</v>
      </c>
      <c r="E43" s="15">
        <v>44529</v>
      </c>
      <c r="F43" s="17">
        <v>78390</v>
      </c>
      <c r="G43" t="s">
        <v>14</v>
      </c>
    </row>
    <row r="44" spans="1:7">
      <c r="A44" t="s">
        <v>61</v>
      </c>
      <c r="B44" t="s">
        <v>16</v>
      </c>
      <c r="C44" t="s">
        <v>18</v>
      </c>
      <c r="D44">
        <v>33</v>
      </c>
      <c r="E44" s="15">
        <v>44809</v>
      </c>
      <c r="F44" s="17">
        <v>86570</v>
      </c>
      <c r="G44" t="s">
        <v>14</v>
      </c>
    </row>
    <row r="45" spans="1:7">
      <c r="A45" t="s">
        <v>62</v>
      </c>
      <c r="B45" t="s">
        <v>16</v>
      </c>
      <c r="C45" t="s">
        <v>24</v>
      </c>
      <c r="D45">
        <v>27</v>
      </c>
      <c r="E45" s="15">
        <v>44686</v>
      </c>
      <c r="F45" s="17">
        <v>83750</v>
      </c>
      <c r="G45" t="s">
        <v>14</v>
      </c>
    </row>
    <row r="46" spans="1:7">
      <c r="A46" t="s">
        <v>63</v>
      </c>
      <c r="B46" t="s">
        <v>16</v>
      </c>
      <c r="C46" t="s">
        <v>18</v>
      </c>
      <c r="D46">
        <v>34</v>
      </c>
      <c r="E46" s="15">
        <v>44445</v>
      </c>
      <c r="F46" s="17">
        <v>92450</v>
      </c>
      <c r="G46" t="s">
        <v>14</v>
      </c>
    </row>
    <row r="47" spans="1:7">
      <c r="A47" t="s">
        <v>64</v>
      </c>
      <c r="B47" t="s">
        <v>9</v>
      </c>
      <c r="C47" t="s">
        <v>24</v>
      </c>
      <c r="D47">
        <v>20</v>
      </c>
      <c r="E47" s="15">
        <v>44183</v>
      </c>
      <c r="F47" s="17">
        <v>112650</v>
      </c>
      <c r="G47" t="s">
        <v>14</v>
      </c>
    </row>
    <row r="48" spans="1:7">
      <c r="A48" t="s">
        <v>65</v>
      </c>
      <c r="B48" t="s">
        <v>9</v>
      </c>
      <c r="C48" t="s">
        <v>13</v>
      </c>
      <c r="D48">
        <v>20</v>
      </c>
      <c r="E48" s="15">
        <v>44744</v>
      </c>
      <c r="F48" s="17">
        <v>79570</v>
      </c>
      <c r="G48" t="s">
        <v>14</v>
      </c>
    </row>
    <row r="49" spans="1:7">
      <c r="A49" t="s">
        <v>66</v>
      </c>
      <c r="B49" t="s">
        <v>16</v>
      </c>
      <c r="C49" t="s">
        <v>10</v>
      </c>
      <c r="D49">
        <v>20</v>
      </c>
      <c r="E49" s="15">
        <v>44537</v>
      </c>
      <c r="F49" s="17">
        <v>68900</v>
      </c>
      <c r="G49" t="s">
        <v>19</v>
      </c>
    </row>
    <row r="50" spans="1:7">
      <c r="A50" t="s">
        <v>67</v>
      </c>
      <c r="B50" t="s">
        <v>16</v>
      </c>
      <c r="C50" t="s">
        <v>24</v>
      </c>
      <c r="D50">
        <v>25</v>
      </c>
      <c r="E50" s="15">
        <v>44694</v>
      </c>
      <c r="F50" s="17">
        <v>80700</v>
      </c>
      <c r="G50" t="s">
        <v>11</v>
      </c>
    </row>
    <row r="51" spans="1:7">
      <c r="A51" t="s">
        <v>68</v>
      </c>
      <c r="B51" t="s">
        <v>9</v>
      </c>
      <c r="C51" t="s">
        <v>13</v>
      </c>
      <c r="D51">
        <v>19</v>
      </c>
      <c r="E51" s="15">
        <v>44277</v>
      </c>
      <c r="F51" s="17">
        <v>58960</v>
      </c>
      <c r="G51" t="s">
        <v>14</v>
      </c>
    </row>
    <row r="52" spans="1:7">
      <c r="A52" t="s">
        <v>69</v>
      </c>
      <c r="B52" t="s">
        <v>9</v>
      </c>
      <c r="C52" t="s">
        <v>24</v>
      </c>
      <c r="D52">
        <v>36</v>
      </c>
      <c r="E52" s="15">
        <v>44019</v>
      </c>
      <c r="F52" s="17">
        <v>118840</v>
      </c>
      <c r="G52" t="s">
        <v>14</v>
      </c>
    </row>
    <row r="53" spans="1:7">
      <c r="A53" t="s">
        <v>70</v>
      </c>
      <c r="B53" t="s">
        <v>9</v>
      </c>
      <c r="C53" t="s">
        <v>18</v>
      </c>
      <c r="D53">
        <v>28</v>
      </c>
      <c r="E53" s="15">
        <v>44041</v>
      </c>
      <c r="F53" s="17">
        <v>48170</v>
      </c>
      <c r="G53" t="s">
        <v>11</v>
      </c>
    </row>
    <row r="54" spans="1:7">
      <c r="A54" t="s">
        <v>71</v>
      </c>
      <c r="B54" t="s">
        <v>16</v>
      </c>
      <c r="C54" t="s">
        <v>27</v>
      </c>
      <c r="D54">
        <v>32</v>
      </c>
      <c r="E54" s="15">
        <v>44400</v>
      </c>
      <c r="F54" s="17">
        <v>45510</v>
      </c>
      <c r="G54" t="s">
        <v>14</v>
      </c>
    </row>
    <row r="55" spans="1:7">
      <c r="A55" t="s">
        <v>64</v>
      </c>
      <c r="B55" t="s">
        <v>9</v>
      </c>
      <c r="C55" t="s">
        <v>13</v>
      </c>
      <c r="D55">
        <v>34</v>
      </c>
      <c r="E55" s="15">
        <v>44703</v>
      </c>
      <c r="F55" s="17">
        <v>112650</v>
      </c>
      <c r="G55" t="s">
        <v>14</v>
      </c>
    </row>
    <row r="56" spans="1:7">
      <c r="A56" t="s">
        <v>72</v>
      </c>
      <c r="B56" t="s">
        <v>16</v>
      </c>
      <c r="C56" t="s">
        <v>13</v>
      </c>
      <c r="D56">
        <v>36</v>
      </c>
      <c r="E56" s="15">
        <v>44085</v>
      </c>
      <c r="F56" s="17">
        <v>114890</v>
      </c>
      <c r="G56" t="s">
        <v>14</v>
      </c>
    </row>
    <row r="57" spans="1:7">
      <c r="A57" t="s">
        <v>73</v>
      </c>
      <c r="B57" t="s">
        <v>9</v>
      </c>
      <c r="C57" t="s">
        <v>24</v>
      </c>
      <c r="D57">
        <v>30</v>
      </c>
      <c r="E57" s="15">
        <v>44850</v>
      </c>
      <c r="F57" s="17">
        <v>69710</v>
      </c>
      <c r="G57" t="s">
        <v>14</v>
      </c>
    </row>
    <row r="58" spans="1:7">
      <c r="A58" t="s">
        <v>74</v>
      </c>
      <c r="B58" t="s">
        <v>9</v>
      </c>
      <c r="C58" t="s">
        <v>18</v>
      </c>
      <c r="D58">
        <v>36</v>
      </c>
      <c r="E58" s="15">
        <v>44333</v>
      </c>
      <c r="F58" s="17">
        <v>71380</v>
      </c>
      <c r="G58" t="s">
        <v>14</v>
      </c>
    </row>
    <row r="59" spans="1:7">
      <c r="A59" t="s">
        <v>75</v>
      </c>
      <c r="B59" t="s">
        <v>16</v>
      </c>
      <c r="C59" t="s">
        <v>10</v>
      </c>
      <c r="D59">
        <v>38</v>
      </c>
      <c r="E59" s="15">
        <v>44377</v>
      </c>
      <c r="F59" s="17">
        <v>109160</v>
      </c>
      <c r="G59" t="s">
        <v>44</v>
      </c>
    </row>
    <row r="60" spans="1:7">
      <c r="A60" t="s">
        <v>76</v>
      </c>
      <c r="B60" t="s">
        <v>9</v>
      </c>
      <c r="C60" t="s">
        <v>13</v>
      </c>
      <c r="D60">
        <v>27</v>
      </c>
      <c r="E60" s="15">
        <v>44609</v>
      </c>
      <c r="F60" s="17">
        <v>113280</v>
      </c>
      <c r="G60" t="s">
        <v>50</v>
      </c>
    </row>
    <row r="61" spans="1:7">
      <c r="A61" t="s">
        <v>77</v>
      </c>
      <c r="B61" t="s">
        <v>9</v>
      </c>
      <c r="C61" t="s">
        <v>24</v>
      </c>
      <c r="D61">
        <v>30</v>
      </c>
      <c r="E61" s="15">
        <v>44273</v>
      </c>
      <c r="F61" s="17">
        <v>69120</v>
      </c>
      <c r="G61" t="s">
        <v>14</v>
      </c>
    </row>
    <row r="62" spans="1:7">
      <c r="A62" t="s">
        <v>78</v>
      </c>
      <c r="B62" t="s">
        <v>16</v>
      </c>
      <c r="C62" t="s">
        <v>27</v>
      </c>
      <c r="D62">
        <v>37</v>
      </c>
      <c r="E62" s="15">
        <v>44451</v>
      </c>
      <c r="F62" s="17">
        <v>118100</v>
      </c>
      <c r="G62" t="s">
        <v>14</v>
      </c>
    </row>
    <row r="63" spans="1:7">
      <c r="A63" t="s">
        <v>79</v>
      </c>
      <c r="B63" t="s">
        <v>16</v>
      </c>
      <c r="C63" t="s">
        <v>13</v>
      </c>
      <c r="D63">
        <v>22</v>
      </c>
      <c r="E63" s="15">
        <v>44450</v>
      </c>
      <c r="F63" s="17">
        <v>76900</v>
      </c>
      <c r="G63" t="s">
        <v>11</v>
      </c>
    </row>
    <row r="64" spans="1:7">
      <c r="A64" t="s">
        <v>80</v>
      </c>
      <c r="B64" t="s">
        <v>16</v>
      </c>
      <c r="C64" t="s">
        <v>24</v>
      </c>
      <c r="D64">
        <v>43</v>
      </c>
      <c r="E64" s="15">
        <v>45045</v>
      </c>
      <c r="F64" s="17">
        <v>114870</v>
      </c>
      <c r="G64" t="s">
        <v>14</v>
      </c>
    </row>
    <row r="65" spans="1:7">
      <c r="A65" t="s">
        <v>81</v>
      </c>
      <c r="C65" t="s">
        <v>24</v>
      </c>
      <c r="D65">
        <v>32</v>
      </c>
      <c r="E65" s="15">
        <v>44774</v>
      </c>
      <c r="F65" s="17">
        <v>91310</v>
      </c>
      <c r="G65" t="s">
        <v>14</v>
      </c>
    </row>
    <row r="66" spans="1:7">
      <c r="A66" t="s">
        <v>82</v>
      </c>
      <c r="B66" t="s">
        <v>16</v>
      </c>
      <c r="C66" t="s">
        <v>13</v>
      </c>
      <c r="D66">
        <v>28</v>
      </c>
      <c r="E66" s="15">
        <v>44486</v>
      </c>
      <c r="F66" s="17">
        <v>104770</v>
      </c>
      <c r="G66" t="s">
        <v>14</v>
      </c>
    </row>
    <row r="67" spans="1:7">
      <c r="A67" t="s">
        <v>83</v>
      </c>
      <c r="B67" t="s">
        <v>9</v>
      </c>
      <c r="C67" t="s">
        <v>10</v>
      </c>
      <c r="D67">
        <v>27</v>
      </c>
      <c r="E67" s="15">
        <v>44134</v>
      </c>
      <c r="F67" s="17">
        <v>54970</v>
      </c>
      <c r="G67" t="s">
        <v>14</v>
      </c>
    </row>
    <row r="68" spans="1:7">
      <c r="A68" t="s">
        <v>84</v>
      </c>
      <c r="C68" t="s">
        <v>24</v>
      </c>
      <c r="D68">
        <v>26</v>
      </c>
      <c r="E68" s="15">
        <v>44271</v>
      </c>
      <c r="F68" s="17">
        <v>90700</v>
      </c>
      <c r="G68" t="s">
        <v>11</v>
      </c>
    </row>
    <row r="69" spans="1:7">
      <c r="A69" t="s">
        <v>85</v>
      </c>
      <c r="B69" t="s">
        <v>16</v>
      </c>
      <c r="C69" t="s">
        <v>10</v>
      </c>
      <c r="D69">
        <v>38</v>
      </c>
      <c r="E69" s="15">
        <v>44329</v>
      </c>
      <c r="F69" s="17">
        <v>56870</v>
      </c>
      <c r="G69" t="s">
        <v>11</v>
      </c>
    </row>
    <row r="70" spans="1:7">
      <c r="A70" t="s">
        <v>86</v>
      </c>
      <c r="B70" t="s">
        <v>16</v>
      </c>
      <c r="C70" t="s">
        <v>10</v>
      </c>
      <c r="D70">
        <v>25</v>
      </c>
      <c r="E70" s="15">
        <v>44205</v>
      </c>
      <c r="F70" s="17">
        <v>92700</v>
      </c>
      <c r="G70" t="s">
        <v>14</v>
      </c>
    </row>
    <row r="71" spans="1:7">
      <c r="A71" t="s">
        <v>87</v>
      </c>
      <c r="B71" t="s">
        <v>16</v>
      </c>
      <c r="C71" t="s">
        <v>18</v>
      </c>
      <c r="D71">
        <v>21</v>
      </c>
      <c r="E71" s="15">
        <v>44317</v>
      </c>
      <c r="F71" s="17">
        <v>65920</v>
      </c>
      <c r="G71" t="s">
        <v>14</v>
      </c>
    </row>
    <row r="72" spans="1:7">
      <c r="A72" t="s">
        <v>88</v>
      </c>
      <c r="B72" t="s">
        <v>9</v>
      </c>
      <c r="C72" t="s">
        <v>13</v>
      </c>
      <c r="D72">
        <v>26</v>
      </c>
      <c r="E72" s="15">
        <v>44225</v>
      </c>
      <c r="F72" s="17">
        <v>47360</v>
      </c>
      <c r="G72" t="s">
        <v>14</v>
      </c>
    </row>
    <row r="73" spans="1:7">
      <c r="A73" t="s">
        <v>89</v>
      </c>
      <c r="B73" t="s">
        <v>9</v>
      </c>
      <c r="C73" t="s">
        <v>13</v>
      </c>
      <c r="D73">
        <v>30</v>
      </c>
      <c r="E73" s="15">
        <v>44666</v>
      </c>
      <c r="F73" s="17">
        <v>60570</v>
      </c>
      <c r="G73" t="s">
        <v>14</v>
      </c>
    </row>
    <row r="74" spans="1:7">
      <c r="A74" t="s">
        <v>90</v>
      </c>
      <c r="B74" t="s">
        <v>16</v>
      </c>
      <c r="C74" t="s">
        <v>13</v>
      </c>
      <c r="D74">
        <v>28</v>
      </c>
      <c r="E74" s="15">
        <v>44649</v>
      </c>
      <c r="F74" s="17">
        <v>104120</v>
      </c>
      <c r="G74" t="s">
        <v>14</v>
      </c>
    </row>
    <row r="75" spans="1:7">
      <c r="A75" t="s">
        <v>91</v>
      </c>
      <c r="B75" t="s">
        <v>9</v>
      </c>
      <c r="C75" t="s">
        <v>24</v>
      </c>
      <c r="D75">
        <v>37</v>
      </c>
      <c r="E75" s="15">
        <v>44338</v>
      </c>
      <c r="F75" s="17">
        <v>88050</v>
      </c>
      <c r="G75" t="s">
        <v>19</v>
      </c>
    </row>
    <row r="76" spans="1:7">
      <c r="A76" t="s">
        <v>92</v>
      </c>
      <c r="B76" t="s">
        <v>9</v>
      </c>
      <c r="C76" t="s">
        <v>24</v>
      </c>
      <c r="D76">
        <v>24</v>
      </c>
      <c r="E76" s="15">
        <v>44686</v>
      </c>
      <c r="F76" s="17">
        <v>100420</v>
      </c>
      <c r="G76" t="s">
        <v>14</v>
      </c>
    </row>
    <row r="77" spans="1:7">
      <c r="A77" t="s">
        <v>93</v>
      </c>
      <c r="B77" t="s">
        <v>16</v>
      </c>
      <c r="C77" t="s">
        <v>13</v>
      </c>
      <c r="D77">
        <v>30</v>
      </c>
      <c r="E77" s="15">
        <v>44850</v>
      </c>
      <c r="F77" s="17">
        <v>114180</v>
      </c>
      <c r="G77" t="s">
        <v>14</v>
      </c>
    </row>
    <row r="78" spans="1:7">
      <c r="A78" t="s">
        <v>94</v>
      </c>
      <c r="B78" t="s">
        <v>16</v>
      </c>
      <c r="C78" t="s">
        <v>24</v>
      </c>
      <c r="D78">
        <v>21</v>
      </c>
      <c r="E78" s="15">
        <v>44678</v>
      </c>
      <c r="F78" s="17">
        <v>33920</v>
      </c>
      <c r="G78" t="s">
        <v>14</v>
      </c>
    </row>
    <row r="79" spans="1:7">
      <c r="A79" t="s">
        <v>95</v>
      </c>
      <c r="B79" t="s">
        <v>9</v>
      </c>
      <c r="C79" t="s">
        <v>13</v>
      </c>
      <c r="D79">
        <v>23</v>
      </c>
      <c r="E79" s="15">
        <v>44440</v>
      </c>
      <c r="F79" s="17">
        <v>106460</v>
      </c>
      <c r="G79" t="s">
        <v>14</v>
      </c>
    </row>
    <row r="80" spans="1:7">
      <c r="A80" t="s">
        <v>96</v>
      </c>
      <c r="B80" t="s">
        <v>9</v>
      </c>
      <c r="C80" t="s">
        <v>13</v>
      </c>
      <c r="D80">
        <v>35</v>
      </c>
      <c r="E80" s="15">
        <v>44727</v>
      </c>
      <c r="F80" s="17">
        <v>40400</v>
      </c>
      <c r="G80" t="s">
        <v>14</v>
      </c>
    </row>
    <row r="81" spans="1:7">
      <c r="A81" t="s">
        <v>97</v>
      </c>
      <c r="B81" t="s">
        <v>9</v>
      </c>
      <c r="C81" t="s">
        <v>18</v>
      </c>
      <c r="D81">
        <v>27</v>
      </c>
      <c r="E81" s="15">
        <v>44236</v>
      </c>
      <c r="F81" s="17">
        <v>91650</v>
      </c>
      <c r="G81" t="s">
        <v>11</v>
      </c>
    </row>
    <row r="82" spans="1:7">
      <c r="A82" t="s">
        <v>98</v>
      </c>
      <c r="B82" t="s">
        <v>9</v>
      </c>
      <c r="C82" t="s">
        <v>10</v>
      </c>
      <c r="D82">
        <v>43</v>
      </c>
      <c r="E82" s="15">
        <v>44620</v>
      </c>
      <c r="F82" s="17">
        <v>36040</v>
      </c>
      <c r="G82" t="s">
        <v>14</v>
      </c>
    </row>
    <row r="83" spans="1:7">
      <c r="A83" t="s">
        <v>99</v>
      </c>
      <c r="B83" t="s">
        <v>16</v>
      </c>
      <c r="C83" t="s">
        <v>24</v>
      </c>
      <c r="D83">
        <v>40</v>
      </c>
      <c r="E83" s="15">
        <v>44381</v>
      </c>
      <c r="F83" s="17">
        <v>104410</v>
      </c>
      <c r="G83" t="s">
        <v>14</v>
      </c>
    </row>
    <row r="84" spans="1:7">
      <c r="A84" t="s">
        <v>100</v>
      </c>
      <c r="B84" t="s">
        <v>9</v>
      </c>
      <c r="C84" t="s">
        <v>18</v>
      </c>
      <c r="D84">
        <v>30</v>
      </c>
      <c r="E84" s="15">
        <v>44606</v>
      </c>
      <c r="F84" s="17">
        <v>96800</v>
      </c>
      <c r="G84" t="s">
        <v>14</v>
      </c>
    </row>
    <row r="85" spans="1:7">
      <c r="A85" t="s">
        <v>101</v>
      </c>
      <c r="B85" t="s">
        <v>16</v>
      </c>
      <c r="C85" t="s">
        <v>18</v>
      </c>
      <c r="D85">
        <v>34</v>
      </c>
      <c r="E85" s="15">
        <v>44459</v>
      </c>
      <c r="F85" s="17">
        <v>85000</v>
      </c>
      <c r="G85" t="s">
        <v>14</v>
      </c>
    </row>
    <row r="86" spans="1:7">
      <c r="A86" t="s">
        <v>102</v>
      </c>
      <c r="B86" t="s">
        <v>9</v>
      </c>
      <c r="C86" t="s">
        <v>10</v>
      </c>
      <c r="D86">
        <v>28</v>
      </c>
      <c r="E86" s="15">
        <v>44820</v>
      </c>
      <c r="F86" s="17">
        <v>43510</v>
      </c>
      <c r="G86" t="s">
        <v>50</v>
      </c>
    </row>
    <row r="87" spans="1:7">
      <c r="A87" t="s">
        <v>103</v>
      </c>
      <c r="B87" t="s">
        <v>9</v>
      </c>
      <c r="C87" t="s">
        <v>18</v>
      </c>
      <c r="D87">
        <v>33</v>
      </c>
      <c r="E87" s="15">
        <v>44243</v>
      </c>
      <c r="F87" s="17">
        <v>59430</v>
      </c>
      <c r="G87" t="s">
        <v>14</v>
      </c>
    </row>
    <row r="88" spans="1:7">
      <c r="A88" t="s">
        <v>104</v>
      </c>
      <c r="B88" t="s">
        <v>16</v>
      </c>
      <c r="C88" t="s">
        <v>18</v>
      </c>
      <c r="D88">
        <v>33</v>
      </c>
      <c r="E88" s="15">
        <v>44067</v>
      </c>
      <c r="F88" s="17">
        <v>65360</v>
      </c>
      <c r="G88" t="s">
        <v>14</v>
      </c>
    </row>
    <row r="89" spans="1:7">
      <c r="A89" t="s">
        <v>105</v>
      </c>
      <c r="B89" t="s">
        <v>16</v>
      </c>
      <c r="C89" t="s">
        <v>13</v>
      </c>
      <c r="D89">
        <v>32</v>
      </c>
      <c r="E89" s="15">
        <v>44611</v>
      </c>
      <c r="F89" s="17">
        <v>41570</v>
      </c>
      <c r="G89" t="s">
        <v>14</v>
      </c>
    </row>
    <row r="90" spans="1:7">
      <c r="A90" t="s">
        <v>106</v>
      </c>
      <c r="B90" t="s">
        <v>16</v>
      </c>
      <c r="C90" t="s">
        <v>24</v>
      </c>
      <c r="D90">
        <v>33</v>
      </c>
      <c r="E90" s="15">
        <v>44312</v>
      </c>
      <c r="F90" s="17">
        <v>75280</v>
      </c>
      <c r="G90" t="s">
        <v>14</v>
      </c>
    </row>
    <row r="91" spans="1:7">
      <c r="A91" t="s">
        <v>107</v>
      </c>
      <c r="B91" t="s">
        <v>9</v>
      </c>
      <c r="C91" t="s">
        <v>10</v>
      </c>
      <c r="D91">
        <v>33</v>
      </c>
      <c r="E91" s="15">
        <v>44385</v>
      </c>
      <c r="F91" s="17">
        <v>74550</v>
      </c>
      <c r="G91" t="s">
        <v>14</v>
      </c>
    </row>
    <row r="92" spans="1:7">
      <c r="A92" t="s">
        <v>108</v>
      </c>
      <c r="B92" t="s">
        <v>9</v>
      </c>
      <c r="C92" t="s">
        <v>13</v>
      </c>
      <c r="D92">
        <v>30</v>
      </c>
      <c r="E92" s="15">
        <v>44701</v>
      </c>
      <c r="F92" s="17">
        <v>67950</v>
      </c>
      <c r="G92" t="s">
        <v>14</v>
      </c>
    </row>
    <row r="93" spans="1:7">
      <c r="A93" t="s">
        <v>109</v>
      </c>
      <c r="B93" t="s">
        <v>9</v>
      </c>
      <c r="C93" t="s">
        <v>18</v>
      </c>
      <c r="D93">
        <v>42</v>
      </c>
      <c r="E93" s="15">
        <v>44731</v>
      </c>
      <c r="F93" s="17">
        <v>70270</v>
      </c>
      <c r="G93" t="s">
        <v>19</v>
      </c>
    </row>
    <row r="94" spans="1:7">
      <c r="A94" t="s">
        <v>110</v>
      </c>
      <c r="B94" t="s">
        <v>9</v>
      </c>
      <c r="C94" t="s">
        <v>13</v>
      </c>
      <c r="D94">
        <v>26</v>
      </c>
      <c r="E94" s="15">
        <v>44411</v>
      </c>
      <c r="F94" s="17">
        <v>53540</v>
      </c>
      <c r="G94" t="s">
        <v>14</v>
      </c>
    </row>
    <row r="95" spans="1:7">
      <c r="A95" t="s">
        <v>8</v>
      </c>
      <c r="B95" t="s">
        <v>9</v>
      </c>
      <c r="C95" t="s">
        <v>10</v>
      </c>
      <c r="D95">
        <v>22</v>
      </c>
      <c r="E95" s="15">
        <v>44446</v>
      </c>
      <c r="F95" s="17">
        <v>112780</v>
      </c>
      <c r="G95" t="s">
        <v>11</v>
      </c>
    </row>
    <row r="96" spans="1:7">
      <c r="A96" t="s">
        <v>12</v>
      </c>
      <c r="B96" t="s">
        <v>9</v>
      </c>
      <c r="C96" t="s">
        <v>13</v>
      </c>
      <c r="D96">
        <v>46</v>
      </c>
      <c r="E96" s="15">
        <v>44758</v>
      </c>
      <c r="F96" s="17">
        <v>70610</v>
      </c>
      <c r="G96" t="s">
        <v>14</v>
      </c>
    </row>
    <row r="97" spans="1:7">
      <c r="A97" t="s">
        <v>15</v>
      </c>
      <c r="B97" t="s">
        <v>16</v>
      </c>
      <c r="C97" t="s">
        <v>10</v>
      </c>
      <c r="D97">
        <v>28</v>
      </c>
      <c r="E97" s="15">
        <v>44357</v>
      </c>
      <c r="F97" s="17">
        <v>53240</v>
      </c>
      <c r="G97" t="s">
        <v>14</v>
      </c>
    </row>
    <row r="98" spans="1:7">
      <c r="A98" t="s">
        <v>17</v>
      </c>
      <c r="C98" t="s">
        <v>18</v>
      </c>
      <c r="D98">
        <v>37</v>
      </c>
      <c r="E98" s="15">
        <v>44146</v>
      </c>
      <c r="F98" s="17">
        <v>115440</v>
      </c>
      <c r="G98" t="s">
        <v>19</v>
      </c>
    </row>
    <row r="99" spans="1:7">
      <c r="A99" t="s">
        <v>20</v>
      </c>
      <c r="B99" t="s">
        <v>9</v>
      </c>
      <c r="C99" t="s">
        <v>10</v>
      </c>
      <c r="D99">
        <v>32</v>
      </c>
      <c r="E99" s="15">
        <v>44465</v>
      </c>
      <c r="F99" s="17">
        <v>53540</v>
      </c>
      <c r="G99" t="s">
        <v>14</v>
      </c>
    </row>
    <row r="100" spans="1:7">
      <c r="A100" t="s">
        <v>21</v>
      </c>
      <c r="B100" t="s">
        <v>16</v>
      </c>
      <c r="C100" t="s">
        <v>13</v>
      </c>
      <c r="D100">
        <v>30</v>
      </c>
      <c r="E100" s="15">
        <v>44861</v>
      </c>
      <c r="F100" s="17">
        <v>112570</v>
      </c>
      <c r="G100" t="s">
        <v>14</v>
      </c>
    </row>
    <row r="101" spans="1:7">
      <c r="A101" t="s">
        <v>22</v>
      </c>
      <c r="B101" t="s">
        <v>9</v>
      </c>
      <c r="C101" t="s">
        <v>13</v>
      </c>
      <c r="D101">
        <v>33</v>
      </c>
      <c r="E101" s="15">
        <v>44701</v>
      </c>
      <c r="F101" s="17">
        <v>48530</v>
      </c>
      <c r="G101" t="s">
        <v>11</v>
      </c>
    </row>
    <row r="102" spans="1:7">
      <c r="A102" t="s">
        <v>23</v>
      </c>
      <c r="B102" t="s">
        <v>16</v>
      </c>
      <c r="C102" t="s">
        <v>24</v>
      </c>
      <c r="D102">
        <v>24</v>
      </c>
      <c r="E102" s="15">
        <v>44148</v>
      </c>
      <c r="F102" s="17">
        <v>62780</v>
      </c>
      <c r="G102" t="s">
        <v>14</v>
      </c>
    </row>
    <row r="103" spans="1:7">
      <c r="A103" t="s">
        <v>111</v>
      </c>
      <c r="D103">
        <f>SUBTOTAL(101,Table1[Age])</f>
        <v>30.52</v>
      </c>
      <c r="F103" s="17">
        <f>SUBTOTAL(101,Table1[Salary])</f>
        <v>77472.1</v>
      </c>
      <c r="G103">
        <f>SUBTOTAL(103,Table1[Rating])</f>
        <v>100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topLeftCell="A5" workbookViewId="0">
      <selection activeCell="I8" sqref="I8"/>
    </sheetView>
  </sheetViews>
  <sheetFormatPr defaultColWidth="9" defaultRowHeight="14.5" outlineLevelCol="6"/>
  <cols>
    <col min="1" max="1" width="28.1818181818182" customWidth="1"/>
    <col min="2" max="3" width="9.45454545454546" customWidth="1"/>
    <col min="4" max="4" width="13.1818181818182" customWidth="1"/>
    <col min="5" max="5" width="12.6363636363636" customWidth="1"/>
    <col min="6" max="6" width="13.0909090909091" customWidth="1"/>
    <col min="7" max="7" width="9.45454545454546" customWidth="1"/>
  </cols>
  <sheetData>
    <row r="1" spans="1:7">
      <c r="A1" t="s">
        <v>1</v>
      </c>
      <c r="B1" t="s">
        <v>2</v>
      </c>
      <c r="C1" t="s">
        <v>4</v>
      </c>
      <c r="D1" t="s">
        <v>7</v>
      </c>
      <c r="E1" t="s">
        <v>5</v>
      </c>
      <c r="F1" t="s">
        <v>3</v>
      </c>
      <c r="G1" t="s">
        <v>6</v>
      </c>
    </row>
    <row r="2" spans="1:7">
      <c r="A2" t="s">
        <v>112</v>
      </c>
      <c r="B2" t="s">
        <v>9</v>
      </c>
      <c r="C2">
        <v>20</v>
      </c>
      <c r="D2" t="s">
        <v>14</v>
      </c>
      <c r="E2" s="15">
        <v>44122</v>
      </c>
      <c r="F2" t="s">
        <v>24</v>
      </c>
      <c r="G2">
        <v>112650</v>
      </c>
    </row>
    <row r="3" spans="1:7">
      <c r="A3" t="s">
        <v>113</v>
      </c>
      <c r="B3" t="s">
        <v>16</v>
      </c>
      <c r="C3">
        <v>32</v>
      </c>
      <c r="D3" t="s">
        <v>11</v>
      </c>
      <c r="E3" s="15">
        <v>44293</v>
      </c>
      <c r="F3" t="s">
        <v>24</v>
      </c>
      <c r="G3">
        <v>43840</v>
      </c>
    </row>
    <row r="4" spans="1:7">
      <c r="A4" t="s">
        <v>114</v>
      </c>
      <c r="B4" t="s">
        <v>9</v>
      </c>
      <c r="C4">
        <v>31</v>
      </c>
      <c r="D4" t="s">
        <v>14</v>
      </c>
      <c r="E4" s="15">
        <v>44663</v>
      </c>
      <c r="F4" t="s">
        <v>13</v>
      </c>
      <c r="G4">
        <v>103550</v>
      </c>
    </row>
    <row r="5" spans="1:7">
      <c r="A5" t="s">
        <v>115</v>
      </c>
      <c r="B5" t="s">
        <v>16</v>
      </c>
      <c r="C5">
        <v>32</v>
      </c>
      <c r="D5" t="s">
        <v>14</v>
      </c>
      <c r="E5" s="15">
        <v>44339</v>
      </c>
      <c r="F5" t="s">
        <v>27</v>
      </c>
      <c r="G5">
        <v>45510</v>
      </c>
    </row>
    <row r="6" spans="1:7">
      <c r="A6" t="s">
        <v>116</v>
      </c>
      <c r="C6">
        <v>37</v>
      </c>
      <c r="D6" t="s">
        <v>19</v>
      </c>
      <c r="E6" s="15">
        <v>44085</v>
      </c>
      <c r="F6" t="s">
        <v>18</v>
      </c>
      <c r="G6">
        <v>115440</v>
      </c>
    </row>
    <row r="7" spans="1:7">
      <c r="A7" t="s">
        <v>117</v>
      </c>
      <c r="B7" t="s">
        <v>16</v>
      </c>
      <c r="C7">
        <v>38</v>
      </c>
      <c r="D7" t="s">
        <v>11</v>
      </c>
      <c r="E7" s="15">
        <v>44268</v>
      </c>
      <c r="F7" t="s">
        <v>10</v>
      </c>
      <c r="G7">
        <v>56870</v>
      </c>
    </row>
    <row r="8" spans="1:7">
      <c r="A8" t="s">
        <v>118</v>
      </c>
      <c r="B8" t="s">
        <v>16</v>
      </c>
      <c r="C8">
        <v>25</v>
      </c>
      <c r="D8" t="s">
        <v>14</v>
      </c>
      <c r="E8" s="15">
        <v>44144</v>
      </c>
      <c r="F8" t="s">
        <v>10</v>
      </c>
      <c r="G8">
        <v>92700</v>
      </c>
    </row>
    <row r="9" spans="1:7">
      <c r="A9" t="s">
        <v>119</v>
      </c>
      <c r="C9">
        <v>32</v>
      </c>
      <c r="D9" t="s">
        <v>14</v>
      </c>
      <c r="E9" s="15">
        <v>44713</v>
      </c>
      <c r="F9" t="s">
        <v>24</v>
      </c>
      <c r="G9">
        <v>91310</v>
      </c>
    </row>
    <row r="10" spans="1:7">
      <c r="A10" t="s">
        <v>120</v>
      </c>
      <c r="B10" t="s">
        <v>9</v>
      </c>
      <c r="C10">
        <v>33</v>
      </c>
      <c r="D10" t="s">
        <v>14</v>
      </c>
      <c r="E10" s="15">
        <v>44324</v>
      </c>
      <c r="F10" t="s">
        <v>10</v>
      </c>
      <c r="G10">
        <v>74550</v>
      </c>
    </row>
    <row r="11" spans="1:7">
      <c r="A11" t="s">
        <v>121</v>
      </c>
      <c r="B11" t="s">
        <v>9</v>
      </c>
      <c r="C11">
        <v>25</v>
      </c>
      <c r="D11" t="s">
        <v>11</v>
      </c>
      <c r="E11" s="15">
        <v>44665</v>
      </c>
      <c r="F11" t="s">
        <v>13</v>
      </c>
      <c r="G11">
        <v>109190</v>
      </c>
    </row>
    <row r="12" spans="1:7">
      <c r="A12" t="s">
        <v>122</v>
      </c>
      <c r="B12" t="s">
        <v>16</v>
      </c>
      <c r="C12">
        <v>40</v>
      </c>
      <c r="D12" t="s">
        <v>14</v>
      </c>
      <c r="E12" s="15">
        <v>44320</v>
      </c>
      <c r="F12" t="s">
        <v>24</v>
      </c>
      <c r="G12">
        <v>104410</v>
      </c>
    </row>
    <row r="13" spans="1:7">
      <c r="A13" t="s">
        <v>123</v>
      </c>
      <c r="B13" t="s">
        <v>9</v>
      </c>
      <c r="C13">
        <v>30</v>
      </c>
      <c r="D13" t="s">
        <v>14</v>
      </c>
      <c r="E13" s="15">
        <v>44544</v>
      </c>
      <c r="F13" t="s">
        <v>18</v>
      </c>
      <c r="G13">
        <v>96800</v>
      </c>
    </row>
    <row r="14" spans="1:7">
      <c r="A14" t="s">
        <v>124</v>
      </c>
      <c r="B14" t="s">
        <v>9</v>
      </c>
      <c r="C14">
        <v>28</v>
      </c>
      <c r="D14" t="s">
        <v>11</v>
      </c>
      <c r="E14" s="15">
        <v>43980</v>
      </c>
      <c r="F14" t="s">
        <v>18</v>
      </c>
      <c r="G14">
        <v>48170</v>
      </c>
    </row>
    <row r="15" spans="1:7">
      <c r="A15" t="s">
        <v>125</v>
      </c>
      <c r="B15" t="s">
        <v>9</v>
      </c>
      <c r="C15">
        <v>21</v>
      </c>
      <c r="D15" t="s">
        <v>14</v>
      </c>
      <c r="E15" s="15">
        <v>44042</v>
      </c>
      <c r="F15" t="s">
        <v>13</v>
      </c>
      <c r="G15">
        <v>37920</v>
      </c>
    </row>
    <row r="16" spans="1:7">
      <c r="A16" t="s">
        <v>126</v>
      </c>
      <c r="B16" t="s">
        <v>9</v>
      </c>
      <c r="C16">
        <v>34</v>
      </c>
      <c r="D16" t="s">
        <v>14</v>
      </c>
      <c r="E16" s="15">
        <v>44642</v>
      </c>
      <c r="F16" t="s">
        <v>13</v>
      </c>
      <c r="G16">
        <v>112650</v>
      </c>
    </row>
    <row r="17" spans="1:7">
      <c r="A17" t="s">
        <v>127</v>
      </c>
      <c r="B17" t="s">
        <v>16</v>
      </c>
      <c r="C17">
        <v>34</v>
      </c>
      <c r="D17" t="s">
        <v>19</v>
      </c>
      <c r="E17" s="15">
        <v>44660</v>
      </c>
      <c r="F17" t="s">
        <v>10</v>
      </c>
      <c r="G17">
        <v>49630</v>
      </c>
    </row>
    <row r="18" spans="1:7">
      <c r="A18" t="s">
        <v>128</v>
      </c>
      <c r="B18" t="s">
        <v>9</v>
      </c>
      <c r="C18">
        <v>36</v>
      </c>
      <c r="D18" t="s">
        <v>14</v>
      </c>
      <c r="E18" s="15">
        <v>43958</v>
      </c>
      <c r="F18" t="s">
        <v>24</v>
      </c>
      <c r="G18">
        <v>118840</v>
      </c>
    </row>
    <row r="19" spans="1:7">
      <c r="A19" t="s">
        <v>129</v>
      </c>
      <c r="B19" t="s">
        <v>9</v>
      </c>
      <c r="C19">
        <v>30</v>
      </c>
      <c r="D19" t="s">
        <v>14</v>
      </c>
      <c r="E19" s="15">
        <v>44789</v>
      </c>
      <c r="F19" t="s">
        <v>24</v>
      </c>
      <c r="G19">
        <v>69710</v>
      </c>
    </row>
    <row r="20" spans="1:7">
      <c r="A20" t="s">
        <v>130</v>
      </c>
      <c r="B20" t="s">
        <v>9</v>
      </c>
      <c r="C20">
        <v>20</v>
      </c>
      <c r="D20" t="s">
        <v>14</v>
      </c>
      <c r="E20" s="15">
        <v>44683</v>
      </c>
      <c r="F20" t="s">
        <v>13</v>
      </c>
      <c r="G20">
        <v>79570</v>
      </c>
    </row>
    <row r="21" spans="1:7">
      <c r="A21" t="s">
        <v>131</v>
      </c>
      <c r="B21" t="s">
        <v>16</v>
      </c>
      <c r="C21">
        <v>22</v>
      </c>
      <c r="D21" t="s">
        <v>11</v>
      </c>
      <c r="E21" s="15">
        <v>44388</v>
      </c>
      <c r="F21" t="s">
        <v>13</v>
      </c>
      <c r="G21">
        <v>76900</v>
      </c>
    </row>
    <row r="22" spans="1:7">
      <c r="A22" t="s">
        <v>132</v>
      </c>
      <c r="B22" t="s">
        <v>9</v>
      </c>
      <c r="C22">
        <v>27</v>
      </c>
      <c r="D22" t="s">
        <v>14</v>
      </c>
      <c r="E22" s="15">
        <v>44073</v>
      </c>
      <c r="F22" t="s">
        <v>10</v>
      </c>
      <c r="G22">
        <v>54970</v>
      </c>
    </row>
    <row r="23" spans="1:7">
      <c r="A23" t="s">
        <v>133</v>
      </c>
      <c r="B23" t="s">
        <v>9</v>
      </c>
      <c r="C23">
        <v>37</v>
      </c>
      <c r="D23" t="s">
        <v>19</v>
      </c>
      <c r="E23" s="15">
        <v>44277</v>
      </c>
      <c r="F23" t="s">
        <v>24</v>
      </c>
      <c r="G23">
        <v>88050</v>
      </c>
    </row>
    <row r="24" spans="1:7">
      <c r="A24" t="s">
        <v>134</v>
      </c>
      <c r="B24" t="s">
        <v>9</v>
      </c>
      <c r="C24">
        <v>43</v>
      </c>
      <c r="D24" t="s">
        <v>14</v>
      </c>
      <c r="E24" s="15">
        <v>44558</v>
      </c>
      <c r="F24" t="s">
        <v>10</v>
      </c>
      <c r="G24">
        <v>36040</v>
      </c>
    </row>
    <row r="25" spans="1:7">
      <c r="A25" t="s">
        <v>135</v>
      </c>
      <c r="B25" t="s">
        <v>16</v>
      </c>
      <c r="C25">
        <v>42</v>
      </c>
      <c r="D25" t="s">
        <v>44</v>
      </c>
      <c r="E25" s="15">
        <v>44718</v>
      </c>
      <c r="F25" t="s">
        <v>13</v>
      </c>
      <c r="G25">
        <v>75000</v>
      </c>
    </row>
    <row r="26" spans="1:7">
      <c r="A26" t="s">
        <v>136</v>
      </c>
      <c r="B26" t="s">
        <v>9</v>
      </c>
      <c r="C26">
        <v>35</v>
      </c>
      <c r="D26" t="s">
        <v>14</v>
      </c>
      <c r="E26" s="15">
        <v>44666</v>
      </c>
      <c r="F26" t="s">
        <v>13</v>
      </c>
      <c r="G26">
        <v>40400</v>
      </c>
    </row>
    <row r="27" spans="1:7">
      <c r="A27" t="s">
        <v>137</v>
      </c>
      <c r="B27" t="s">
        <v>9</v>
      </c>
      <c r="C27">
        <v>24</v>
      </c>
      <c r="D27" t="s">
        <v>14</v>
      </c>
      <c r="E27" s="15">
        <v>44625</v>
      </c>
      <c r="F27" t="s">
        <v>24</v>
      </c>
      <c r="G27">
        <v>100420</v>
      </c>
    </row>
    <row r="28" spans="1:7">
      <c r="A28" t="s">
        <v>138</v>
      </c>
      <c r="B28" t="s">
        <v>16</v>
      </c>
      <c r="C28">
        <v>31</v>
      </c>
      <c r="D28" t="s">
        <v>14</v>
      </c>
      <c r="E28" s="15">
        <v>44604</v>
      </c>
      <c r="F28" t="s">
        <v>24</v>
      </c>
      <c r="G28">
        <v>58100</v>
      </c>
    </row>
    <row r="29" spans="1:7">
      <c r="A29" t="s">
        <v>139</v>
      </c>
      <c r="B29" t="s">
        <v>16</v>
      </c>
      <c r="C29">
        <v>44</v>
      </c>
      <c r="D29" t="s">
        <v>14</v>
      </c>
      <c r="E29" s="15">
        <v>44985</v>
      </c>
      <c r="F29" t="s">
        <v>24</v>
      </c>
      <c r="G29">
        <v>114870</v>
      </c>
    </row>
    <row r="30" spans="1:7">
      <c r="A30" t="s">
        <v>140</v>
      </c>
      <c r="B30" t="s">
        <v>16</v>
      </c>
      <c r="C30">
        <v>32</v>
      </c>
      <c r="D30" t="s">
        <v>14</v>
      </c>
      <c r="E30" s="15">
        <v>44549</v>
      </c>
      <c r="F30" t="s">
        <v>13</v>
      </c>
      <c r="G30">
        <v>41570</v>
      </c>
    </row>
    <row r="31" spans="1:7">
      <c r="A31" t="s">
        <v>141</v>
      </c>
      <c r="B31" t="s">
        <v>16</v>
      </c>
      <c r="C31">
        <v>30</v>
      </c>
      <c r="D31" t="s">
        <v>14</v>
      </c>
      <c r="E31" s="15">
        <v>44800</v>
      </c>
      <c r="F31" t="s">
        <v>13</v>
      </c>
      <c r="G31">
        <v>112570</v>
      </c>
    </row>
    <row r="32" spans="1:7">
      <c r="A32" t="s">
        <v>142</v>
      </c>
      <c r="B32" t="s">
        <v>9</v>
      </c>
      <c r="C32">
        <v>26</v>
      </c>
      <c r="D32" t="s">
        <v>14</v>
      </c>
      <c r="E32" s="15">
        <v>44164</v>
      </c>
      <c r="F32" t="s">
        <v>13</v>
      </c>
      <c r="G32">
        <v>47360</v>
      </c>
    </row>
    <row r="33" spans="1:7">
      <c r="A33" t="s">
        <v>143</v>
      </c>
      <c r="B33" t="s">
        <v>16</v>
      </c>
      <c r="C33">
        <v>21</v>
      </c>
      <c r="D33" t="s">
        <v>14</v>
      </c>
      <c r="E33" s="15">
        <v>44256</v>
      </c>
      <c r="F33" t="s">
        <v>18</v>
      </c>
      <c r="G33">
        <v>65920</v>
      </c>
    </row>
    <row r="34" spans="1:7">
      <c r="A34" t="s">
        <v>144</v>
      </c>
      <c r="B34" t="s">
        <v>16</v>
      </c>
      <c r="C34">
        <v>28</v>
      </c>
      <c r="D34" t="s">
        <v>14</v>
      </c>
      <c r="E34" s="15">
        <v>44571</v>
      </c>
      <c r="F34" t="s">
        <v>13</v>
      </c>
      <c r="G34">
        <v>99970</v>
      </c>
    </row>
    <row r="35" spans="1:7">
      <c r="A35" t="s">
        <v>145</v>
      </c>
      <c r="B35" t="s">
        <v>16</v>
      </c>
      <c r="C35">
        <v>25</v>
      </c>
      <c r="D35" t="s">
        <v>11</v>
      </c>
      <c r="E35" s="15">
        <v>44633</v>
      </c>
      <c r="F35" t="s">
        <v>24</v>
      </c>
      <c r="G35">
        <v>80700</v>
      </c>
    </row>
    <row r="36" spans="1:7">
      <c r="A36" t="s">
        <v>146</v>
      </c>
      <c r="B36" t="s">
        <v>9</v>
      </c>
      <c r="C36">
        <v>24</v>
      </c>
      <c r="D36" t="s">
        <v>19</v>
      </c>
      <c r="E36" s="15">
        <v>44375</v>
      </c>
      <c r="F36" t="s">
        <v>18</v>
      </c>
      <c r="G36">
        <v>52610</v>
      </c>
    </row>
    <row r="37" spans="1:7">
      <c r="A37" t="s">
        <v>147</v>
      </c>
      <c r="B37" t="s">
        <v>9</v>
      </c>
      <c r="C37">
        <v>29</v>
      </c>
      <c r="D37" t="s">
        <v>19</v>
      </c>
      <c r="E37" s="15">
        <v>44119</v>
      </c>
      <c r="F37" t="s">
        <v>24</v>
      </c>
      <c r="G37">
        <v>112110</v>
      </c>
    </row>
    <row r="38" spans="1:7">
      <c r="A38" t="s">
        <v>148</v>
      </c>
      <c r="B38" t="s">
        <v>16</v>
      </c>
      <c r="C38">
        <v>27</v>
      </c>
      <c r="D38" t="s">
        <v>14</v>
      </c>
      <c r="E38" s="15">
        <v>44061</v>
      </c>
      <c r="F38" t="s">
        <v>27</v>
      </c>
      <c r="G38">
        <v>119110</v>
      </c>
    </row>
    <row r="39" spans="1:7">
      <c r="A39" t="s">
        <v>149</v>
      </c>
      <c r="B39" t="s">
        <v>9</v>
      </c>
      <c r="C39">
        <v>22</v>
      </c>
      <c r="D39" t="s">
        <v>11</v>
      </c>
      <c r="E39" s="15">
        <v>44384</v>
      </c>
      <c r="F39" t="s">
        <v>10</v>
      </c>
      <c r="G39">
        <v>112780</v>
      </c>
    </row>
    <row r="40" spans="1:7">
      <c r="A40" t="s">
        <v>150</v>
      </c>
      <c r="B40" t="s">
        <v>16</v>
      </c>
      <c r="C40">
        <v>36</v>
      </c>
      <c r="D40" t="s">
        <v>14</v>
      </c>
      <c r="E40" s="15">
        <v>44023</v>
      </c>
      <c r="F40" t="s">
        <v>13</v>
      </c>
      <c r="G40">
        <v>114890</v>
      </c>
    </row>
    <row r="41" spans="1:7">
      <c r="A41" t="s">
        <v>151</v>
      </c>
      <c r="B41" t="s">
        <v>9</v>
      </c>
      <c r="C41">
        <v>27</v>
      </c>
      <c r="D41" t="s">
        <v>14</v>
      </c>
      <c r="E41" s="15">
        <v>44506</v>
      </c>
      <c r="F41" t="s">
        <v>18</v>
      </c>
      <c r="G41">
        <v>48980</v>
      </c>
    </row>
    <row r="42" spans="1:7">
      <c r="A42" t="s">
        <v>152</v>
      </c>
      <c r="B42" t="s">
        <v>9</v>
      </c>
      <c r="C42">
        <v>21</v>
      </c>
      <c r="D42" t="s">
        <v>14</v>
      </c>
      <c r="E42" s="15">
        <v>44180</v>
      </c>
      <c r="F42" t="s">
        <v>27</v>
      </c>
      <c r="G42">
        <v>75880</v>
      </c>
    </row>
    <row r="43" spans="1:7">
      <c r="A43" t="s">
        <v>153</v>
      </c>
      <c r="B43" t="s">
        <v>16</v>
      </c>
      <c r="C43">
        <v>28</v>
      </c>
      <c r="D43" t="s">
        <v>14</v>
      </c>
      <c r="E43" s="15">
        <v>44296</v>
      </c>
      <c r="F43" t="s">
        <v>10</v>
      </c>
      <c r="G43">
        <v>53240</v>
      </c>
    </row>
    <row r="44" spans="1:7">
      <c r="A44" t="s">
        <v>154</v>
      </c>
      <c r="B44" t="s">
        <v>16</v>
      </c>
      <c r="C44">
        <v>34</v>
      </c>
      <c r="D44" t="s">
        <v>14</v>
      </c>
      <c r="E44" s="15">
        <v>44397</v>
      </c>
      <c r="F44" t="s">
        <v>18</v>
      </c>
      <c r="G44">
        <v>85000</v>
      </c>
    </row>
    <row r="45" spans="1:7">
      <c r="A45" t="s">
        <v>155</v>
      </c>
      <c r="B45" t="s">
        <v>16</v>
      </c>
      <c r="C45">
        <v>21</v>
      </c>
      <c r="D45" t="s">
        <v>14</v>
      </c>
      <c r="E45" s="15">
        <v>44619</v>
      </c>
      <c r="F45" t="s">
        <v>24</v>
      </c>
      <c r="G45">
        <v>33920</v>
      </c>
    </row>
    <row r="46" spans="1:7">
      <c r="A46" t="s">
        <v>156</v>
      </c>
      <c r="B46" t="s">
        <v>16</v>
      </c>
      <c r="C46">
        <v>33</v>
      </c>
      <c r="D46" t="s">
        <v>14</v>
      </c>
      <c r="E46" s="15">
        <v>44253</v>
      </c>
      <c r="F46" t="s">
        <v>24</v>
      </c>
      <c r="G46">
        <v>75280</v>
      </c>
    </row>
    <row r="47" spans="1:7">
      <c r="A47" t="s">
        <v>157</v>
      </c>
      <c r="B47" t="s">
        <v>16</v>
      </c>
      <c r="C47">
        <v>34</v>
      </c>
      <c r="D47" t="s">
        <v>14</v>
      </c>
      <c r="E47" s="15">
        <v>44594</v>
      </c>
      <c r="F47" t="s">
        <v>18</v>
      </c>
      <c r="G47">
        <v>58940</v>
      </c>
    </row>
    <row r="48" spans="1:7">
      <c r="A48" t="s">
        <v>158</v>
      </c>
      <c r="B48" t="s">
        <v>16</v>
      </c>
      <c r="C48">
        <v>28</v>
      </c>
      <c r="D48" t="s">
        <v>14</v>
      </c>
      <c r="E48" s="15">
        <v>44425</v>
      </c>
      <c r="F48" t="s">
        <v>13</v>
      </c>
      <c r="G48">
        <v>104770</v>
      </c>
    </row>
    <row r="49" spans="1:7">
      <c r="A49" t="s">
        <v>159</v>
      </c>
      <c r="B49" t="s">
        <v>9</v>
      </c>
      <c r="C49">
        <v>21</v>
      </c>
      <c r="D49" t="s">
        <v>14</v>
      </c>
      <c r="E49" s="15">
        <v>44701</v>
      </c>
      <c r="F49" t="s">
        <v>13</v>
      </c>
      <c r="G49">
        <v>57090</v>
      </c>
    </row>
    <row r="50" spans="1:7">
      <c r="A50" t="s">
        <v>160</v>
      </c>
      <c r="B50" t="s">
        <v>9</v>
      </c>
      <c r="C50">
        <v>27</v>
      </c>
      <c r="D50" t="s">
        <v>11</v>
      </c>
      <c r="E50" s="15">
        <v>44174</v>
      </c>
      <c r="F50" t="s">
        <v>18</v>
      </c>
      <c r="G50">
        <v>91650</v>
      </c>
    </row>
    <row r="51" spans="1:7">
      <c r="A51" t="s">
        <v>161</v>
      </c>
      <c r="B51" t="s">
        <v>9</v>
      </c>
      <c r="C51">
        <v>42</v>
      </c>
      <c r="D51" t="s">
        <v>19</v>
      </c>
      <c r="E51" s="15">
        <v>44670</v>
      </c>
      <c r="F51" t="s">
        <v>18</v>
      </c>
      <c r="G51">
        <v>70270</v>
      </c>
    </row>
    <row r="52" spans="1:7">
      <c r="A52" t="s">
        <v>162</v>
      </c>
      <c r="B52" t="s">
        <v>16</v>
      </c>
      <c r="C52">
        <v>28</v>
      </c>
      <c r="D52" t="s">
        <v>14</v>
      </c>
      <c r="E52" s="15">
        <v>44124</v>
      </c>
      <c r="F52" t="s">
        <v>18</v>
      </c>
      <c r="G52">
        <v>75970</v>
      </c>
    </row>
    <row r="53" spans="1:7">
      <c r="A53" t="s">
        <v>163</v>
      </c>
      <c r="C53">
        <v>27</v>
      </c>
      <c r="D53" t="s">
        <v>11</v>
      </c>
      <c r="E53" s="15">
        <v>44212</v>
      </c>
      <c r="F53" t="s">
        <v>24</v>
      </c>
      <c r="G53">
        <v>90700</v>
      </c>
    </row>
    <row r="54" spans="1:7">
      <c r="A54" t="s">
        <v>164</v>
      </c>
      <c r="B54" t="s">
        <v>9</v>
      </c>
      <c r="C54">
        <v>30</v>
      </c>
      <c r="D54" t="s">
        <v>14</v>
      </c>
      <c r="E54" s="15">
        <v>44607</v>
      </c>
      <c r="F54" t="s">
        <v>13</v>
      </c>
      <c r="G54">
        <v>60570</v>
      </c>
    </row>
    <row r="55" spans="1:7">
      <c r="A55" t="s">
        <v>165</v>
      </c>
      <c r="B55" t="s">
        <v>9</v>
      </c>
      <c r="C55">
        <v>33</v>
      </c>
      <c r="D55" t="s">
        <v>14</v>
      </c>
      <c r="E55" s="15">
        <v>44103</v>
      </c>
      <c r="F55" t="s">
        <v>13</v>
      </c>
      <c r="G55">
        <v>115920</v>
      </c>
    </row>
    <row r="56" spans="1:7">
      <c r="A56" t="s">
        <v>166</v>
      </c>
      <c r="B56" t="s">
        <v>16</v>
      </c>
      <c r="C56">
        <v>33</v>
      </c>
      <c r="D56" t="s">
        <v>14</v>
      </c>
      <c r="E56" s="15">
        <v>44006</v>
      </c>
      <c r="F56" t="s">
        <v>18</v>
      </c>
      <c r="G56">
        <v>65360</v>
      </c>
    </row>
    <row r="57" spans="1:7">
      <c r="A57" t="s">
        <v>167</v>
      </c>
      <c r="C57">
        <v>30</v>
      </c>
      <c r="D57" t="s">
        <v>14</v>
      </c>
      <c r="E57" s="15">
        <v>44535</v>
      </c>
      <c r="F57" t="s">
        <v>18</v>
      </c>
      <c r="G57">
        <v>64000</v>
      </c>
    </row>
    <row r="58" spans="1:7">
      <c r="A58" t="s">
        <v>168</v>
      </c>
      <c r="B58" t="s">
        <v>16</v>
      </c>
      <c r="C58">
        <v>34</v>
      </c>
      <c r="D58" t="s">
        <v>14</v>
      </c>
      <c r="E58" s="15">
        <v>44383</v>
      </c>
      <c r="F58" t="s">
        <v>18</v>
      </c>
      <c r="G58">
        <v>92450</v>
      </c>
    </row>
    <row r="59" spans="1:7">
      <c r="A59" t="s">
        <v>169</v>
      </c>
      <c r="B59" t="s">
        <v>9</v>
      </c>
      <c r="C59">
        <v>31</v>
      </c>
      <c r="D59" t="s">
        <v>14</v>
      </c>
      <c r="E59" s="15">
        <v>44450</v>
      </c>
      <c r="F59" t="s">
        <v>24</v>
      </c>
      <c r="G59">
        <v>48950</v>
      </c>
    </row>
    <row r="60" spans="1:7">
      <c r="A60" t="s">
        <v>170</v>
      </c>
      <c r="B60" t="s">
        <v>16</v>
      </c>
      <c r="C60">
        <v>27</v>
      </c>
      <c r="D60" t="s">
        <v>14</v>
      </c>
      <c r="E60" s="15">
        <v>44625</v>
      </c>
      <c r="F60" t="s">
        <v>24</v>
      </c>
      <c r="G60">
        <v>83750</v>
      </c>
    </row>
    <row r="61" spans="1:7">
      <c r="A61" t="s">
        <v>171</v>
      </c>
      <c r="B61" t="s">
        <v>16</v>
      </c>
      <c r="C61">
        <v>40</v>
      </c>
      <c r="D61" t="s">
        <v>14</v>
      </c>
      <c r="E61" s="15">
        <v>44276</v>
      </c>
      <c r="F61" t="s">
        <v>24</v>
      </c>
      <c r="G61">
        <v>87620</v>
      </c>
    </row>
    <row r="62" spans="1:7">
      <c r="A62" t="s">
        <v>172</v>
      </c>
      <c r="B62" t="s">
        <v>16</v>
      </c>
      <c r="C62">
        <v>20</v>
      </c>
      <c r="D62" t="s">
        <v>19</v>
      </c>
      <c r="E62" s="15">
        <v>44476</v>
      </c>
      <c r="F62" t="s">
        <v>10</v>
      </c>
      <c r="G62">
        <v>68900</v>
      </c>
    </row>
    <row r="63" spans="1:7">
      <c r="A63" t="s">
        <v>173</v>
      </c>
      <c r="B63" t="s">
        <v>9</v>
      </c>
      <c r="C63">
        <v>32</v>
      </c>
      <c r="D63" t="s">
        <v>14</v>
      </c>
      <c r="E63" s="15">
        <v>44403</v>
      </c>
      <c r="F63" t="s">
        <v>10</v>
      </c>
      <c r="G63">
        <v>53540</v>
      </c>
    </row>
    <row r="64" spans="1:7">
      <c r="A64" t="s">
        <v>174</v>
      </c>
      <c r="B64" t="s">
        <v>9</v>
      </c>
      <c r="C64">
        <v>28</v>
      </c>
      <c r="D64" t="s">
        <v>50</v>
      </c>
      <c r="E64" s="15">
        <v>44758</v>
      </c>
      <c r="F64" t="s">
        <v>10</v>
      </c>
      <c r="G64">
        <v>43510</v>
      </c>
    </row>
    <row r="65" spans="1:7">
      <c r="A65" t="s">
        <v>175</v>
      </c>
      <c r="B65" t="s">
        <v>16</v>
      </c>
      <c r="C65">
        <v>38</v>
      </c>
      <c r="D65" t="s">
        <v>44</v>
      </c>
      <c r="E65" s="15">
        <v>44316</v>
      </c>
      <c r="F65" t="s">
        <v>10</v>
      </c>
      <c r="G65">
        <v>109160</v>
      </c>
    </row>
    <row r="66" spans="1:7">
      <c r="A66" t="s">
        <v>176</v>
      </c>
      <c r="B66" t="s">
        <v>9</v>
      </c>
      <c r="C66">
        <v>40</v>
      </c>
      <c r="D66" t="s">
        <v>14</v>
      </c>
      <c r="E66" s="15">
        <v>44204</v>
      </c>
      <c r="F66" t="s">
        <v>13</v>
      </c>
      <c r="G66">
        <v>99750</v>
      </c>
    </row>
    <row r="67" spans="1:7">
      <c r="A67" t="s">
        <v>177</v>
      </c>
      <c r="B67" t="s">
        <v>16</v>
      </c>
      <c r="C67">
        <v>31</v>
      </c>
      <c r="D67" t="s">
        <v>14</v>
      </c>
      <c r="E67" s="15">
        <v>44084</v>
      </c>
      <c r="F67" t="s">
        <v>24</v>
      </c>
      <c r="G67">
        <v>41980</v>
      </c>
    </row>
    <row r="68" spans="1:7">
      <c r="A68" t="s">
        <v>178</v>
      </c>
      <c r="B68" t="s">
        <v>9</v>
      </c>
      <c r="C68">
        <v>36</v>
      </c>
      <c r="D68" t="s">
        <v>14</v>
      </c>
      <c r="E68" s="15">
        <v>44272</v>
      </c>
      <c r="F68" t="s">
        <v>18</v>
      </c>
      <c r="G68">
        <v>71380</v>
      </c>
    </row>
    <row r="69" spans="1:7">
      <c r="A69" t="s">
        <v>179</v>
      </c>
      <c r="B69" t="s">
        <v>9</v>
      </c>
      <c r="C69">
        <v>27</v>
      </c>
      <c r="D69" t="s">
        <v>50</v>
      </c>
      <c r="E69" s="15">
        <v>44547</v>
      </c>
      <c r="F69" t="s">
        <v>13</v>
      </c>
      <c r="G69">
        <v>113280</v>
      </c>
    </row>
    <row r="70" spans="1:7">
      <c r="A70" t="s">
        <v>180</v>
      </c>
      <c r="B70" t="s">
        <v>16</v>
      </c>
      <c r="C70">
        <v>33</v>
      </c>
      <c r="D70" t="s">
        <v>14</v>
      </c>
      <c r="E70" s="15">
        <v>44747</v>
      </c>
      <c r="F70" t="s">
        <v>18</v>
      </c>
      <c r="G70">
        <v>86570</v>
      </c>
    </row>
    <row r="71" spans="1:7">
      <c r="A71" t="s">
        <v>181</v>
      </c>
      <c r="B71" t="s">
        <v>9</v>
      </c>
      <c r="C71">
        <v>26</v>
      </c>
      <c r="D71" t="s">
        <v>14</v>
      </c>
      <c r="E71" s="15">
        <v>44350</v>
      </c>
      <c r="F71" t="s">
        <v>13</v>
      </c>
      <c r="G71">
        <v>53540</v>
      </c>
    </row>
    <row r="72" spans="1:7">
      <c r="A72" t="s">
        <v>182</v>
      </c>
      <c r="B72" t="s">
        <v>9</v>
      </c>
      <c r="C72">
        <v>37</v>
      </c>
      <c r="D72" t="s">
        <v>14</v>
      </c>
      <c r="E72" s="15">
        <v>44640</v>
      </c>
      <c r="F72" t="s">
        <v>24</v>
      </c>
      <c r="G72">
        <v>69070</v>
      </c>
    </row>
    <row r="73" spans="1:7">
      <c r="A73" t="s">
        <v>183</v>
      </c>
      <c r="B73" t="s">
        <v>16</v>
      </c>
      <c r="C73">
        <v>30</v>
      </c>
      <c r="D73" t="s">
        <v>19</v>
      </c>
      <c r="E73" s="15">
        <v>44328</v>
      </c>
      <c r="F73" t="s">
        <v>18</v>
      </c>
      <c r="G73">
        <v>67910</v>
      </c>
    </row>
    <row r="74" spans="1:7">
      <c r="A74" t="s">
        <v>184</v>
      </c>
      <c r="B74" t="s">
        <v>9</v>
      </c>
      <c r="C74">
        <v>30</v>
      </c>
      <c r="D74" t="s">
        <v>14</v>
      </c>
      <c r="E74" s="15">
        <v>44214</v>
      </c>
      <c r="F74" t="s">
        <v>24</v>
      </c>
      <c r="G74">
        <v>69120</v>
      </c>
    </row>
    <row r="75" spans="1:7">
      <c r="A75" t="s">
        <v>185</v>
      </c>
      <c r="B75" t="s">
        <v>16</v>
      </c>
      <c r="C75">
        <v>34</v>
      </c>
      <c r="D75" t="s">
        <v>14</v>
      </c>
      <c r="E75" s="15">
        <v>44550</v>
      </c>
      <c r="F75" t="s">
        <v>18</v>
      </c>
      <c r="G75">
        <v>60130</v>
      </c>
    </row>
    <row r="76" spans="1:7">
      <c r="A76" t="s">
        <v>186</v>
      </c>
      <c r="B76" t="s">
        <v>9</v>
      </c>
      <c r="C76">
        <v>23</v>
      </c>
      <c r="D76" t="s">
        <v>14</v>
      </c>
      <c r="E76" s="15">
        <v>44378</v>
      </c>
      <c r="F76" t="s">
        <v>13</v>
      </c>
      <c r="G76">
        <v>106460</v>
      </c>
    </row>
    <row r="77" spans="1:7">
      <c r="A77" t="s">
        <v>187</v>
      </c>
      <c r="B77" t="s">
        <v>16</v>
      </c>
      <c r="C77">
        <v>37</v>
      </c>
      <c r="D77" t="s">
        <v>14</v>
      </c>
      <c r="E77" s="15">
        <v>44389</v>
      </c>
      <c r="F77" t="s">
        <v>27</v>
      </c>
      <c r="G77">
        <v>118100</v>
      </c>
    </row>
    <row r="78" spans="1:7">
      <c r="A78" t="s">
        <v>188</v>
      </c>
      <c r="B78" t="s">
        <v>16</v>
      </c>
      <c r="C78">
        <v>36</v>
      </c>
      <c r="D78" t="s">
        <v>14</v>
      </c>
      <c r="E78" s="15">
        <v>44468</v>
      </c>
      <c r="F78" t="s">
        <v>13</v>
      </c>
      <c r="G78">
        <v>78390</v>
      </c>
    </row>
    <row r="79" spans="1:7">
      <c r="A79" t="s">
        <v>189</v>
      </c>
      <c r="B79" t="s">
        <v>16</v>
      </c>
      <c r="C79">
        <v>30</v>
      </c>
      <c r="D79" t="s">
        <v>14</v>
      </c>
      <c r="E79" s="15">
        <v>44789</v>
      </c>
      <c r="F79" t="s">
        <v>13</v>
      </c>
      <c r="G79">
        <v>114180</v>
      </c>
    </row>
    <row r="80" spans="1:7">
      <c r="A80" t="s">
        <v>190</v>
      </c>
      <c r="B80" t="s">
        <v>16</v>
      </c>
      <c r="C80">
        <v>28</v>
      </c>
      <c r="D80" t="s">
        <v>14</v>
      </c>
      <c r="E80" s="15">
        <v>44590</v>
      </c>
      <c r="F80" t="s">
        <v>13</v>
      </c>
      <c r="G80">
        <v>104120</v>
      </c>
    </row>
    <row r="81" spans="1:7">
      <c r="A81" t="s">
        <v>191</v>
      </c>
      <c r="B81" t="s">
        <v>9</v>
      </c>
      <c r="C81">
        <v>30</v>
      </c>
      <c r="D81" t="s">
        <v>14</v>
      </c>
      <c r="E81" s="15">
        <v>44640</v>
      </c>
      <c r="F81" t="s">
        <v>13</v>
      </c>
      <c r="G81">
        <v>67950</v>
      </c>
    </row>
    <row r="82" spans="1:7">
      <c r="A82" t="s">
        <v>192</v>
      </c>
      <c r="B82" t="s">
        <v>16</v>
      </c>
      <c r="C82">
        <v>29</v>
      </c>
      <c r="D82" t="s">
        <v>14</v>
      </c>
      <c r="E82" s="15">
        <v>43962</v>
      </c>
      <c r="F82" t="s">
        <v>24</v>
      </c>
      <c r="G82">
        <v>34980</v>
      </c>
    </row>
    <row r="83" spans="1:7">
      <c r="A83" t="s">
        <v>193</v>
      </c>
      <c r="B83" t="s">
        <v>16</v>
      </c>
      <c r="C83">
        <v>24</v>
      </c>
      <c r="D83" t="s">
        <v>14</v>
      </c>
      <c r="E83" s="15">
        <v>44087</v>
      </c>
      <c r="F83" t="s">
        <v>24</v>
      </c>
      <c r="G83">
        <v>62780</v>
      </c>
    </row>
    <row r="84" spans="1:7">
      <c r="A84" t="s">
        <v>194</v>
      </c>
      <c r="B84" t="s">
        <v>9</v>
      </c>
      <c r="C84">
        <v>20</v>
      </c>
      <c r="D84" t="s">
        <v>14</v>
      </c>
      <c r="E84" s="15">
        <v>44397</v>
      </c>
      <c r="F84" t="s">
        <v>24</v>
      </c>
      <c r="G84">
        <v>107700</v>
      </c>
    </row>
    <row r="85" spans="1:7">
      <c r="A85" t="s">
        <v>195</v>
      </c>
      <c r="B85" t="s">
        <v>9</v>
      </c>
      <c r="C85">
        <v>25</v>
      </c>
      <c r="D85" t="s">
        <v>14</v>
      </c>
      <c r="E85" s="15">
        <v>44322</v>
      </c>
      <c r="F85" t="s">
        <v>10</v>
      </c>
      <c r="G85">
        <v>65700</v>
      </c>
    </row>
    <row r="86" spans="1:7">
      <c r="A86" t="s">
        <v>196</v>
      </c>
      <c r="B86" t="s">
        <v>16</v>
      </c>
      <c r="C86">
        <v>33</v>
      </c>
      <c r="D86" t="s">
        <v>50</v>
      </c>
      <c r="E86" s="15">
        <v>44313</v>
      </c>
      <c r="F86" t="s">
        <v>24</v>
      </c>
      <c r="G86">
        <v>75480</v>
      </c>
    </row>
    <row r="87" spans="1:7">
      <c r="A87" t="s">
        <v>197</v>
      </c>
      <c r="B87" t="s">
        <v>9</v>
      </c>
      <c r="C87">
        <v>33</v>
      </c>
      <c r="D87" t="s">
        <v>14</v>
      </c>
      <c r="E87" s="15">
        <v>44448</v>
      </c>
      <c r="F87" t="s">
        <v>24</v>
      </c>
      <c r="G87">
        <v>53870</v>
      </c>
    </row>
    <row r="88" spans="1:7">
      <c r="A88" t="s">
        <v>198</v>
      </c>
      <c r="B88" t="s">
        <v>16</v>
      </c>
      <c r="C88">
        <v>36</v>
      </c>
      <c r="D88" t="s">
        <v>14</v>
      </c>
      <c r="E88" s="15">
        <v>44433</v>
      </c>
      <c r="F88" t="s">
        <v>10</v>
      </c>
      <c r="G88">
        <v>78540</v>
      </c>
    </row>
    <row r="89" spans="1:7">
      <c r="A89" t="s">
        <v>199</v>
      </c>
      <c r="B89" t="s">
        <v>9</v>
      </c>
      <c r="C89">
        <v>19</v>
      </c>
      <c r="D89" t="s">
        <v>14</v>
      </c>
      <c r="E89" s="15">
        <v>44218</v>
      </c>
      <c r="F89" t="s">
        <v>13</v>
      </c>
      <c r="G89">
        <v>58960</v>
      </c>
    </row>
    <row r="90" spans="1:7">
      <c r="A90" t="s">
        <v>200</v>
      </c>
      <c r="B90" t="s">
        <v>9</v>
      </c>
      <c r="C90">
        <v>46</v>
      </c>
      <c r="D90" t="s">
        <v>14</v>
      </c>
      <c r="E90" s="15">
        <v>44697</v>
      </c>
      <c r="F90" t="s">
        <v>13</v>
      </c>
      <c r="G90">
        <v>70610</v>
      </c>
    </row>
    <row r="91" spans="1:7">
      <c r="A91" t="s">
        <v>201</v>
      </c>
      <c r="B91" t="s">
        <v>9</v>
      </c>
      <c r="C91">
        <v>33</v>
      </c>
      <c r="D91" t="s">
        <v>14</v>
      </c>
      <c r="E91" s="15">
        <v>44181</v>
      </c>
      <c r="F91" t="s">
        <v>18</v>
      </c>
      <c r="G91">
        <v>59430</v>
      </c>
    </row>
    <row r="92" spans="1:7">
      <c r="A92" t="s">
        <v>202</v>
      </c>
      <c r="B92" t="s">
        <v>9</v>
      </c>
      <c r="C92">
        <v>33</v>
      </c>
      <c r="D92" t="s">
        <v>11</v>
      </c>
      <c r="E92" s="15">
        <v>44640</v>
      </c>
      <c r="F92" t="s">
        <v>13</v>
      </c>
      <c r="G92">
        <v>48530</v>
      </c>
    </row>
    <row r="93" spans="1:7">
      <c r="A93" t="s">
        <v>203</v>
      </c>
      <c r="B93" t="s">
        <v>16</v>
      </c>
      <c r="C93">
        <v>33</v>
      </c>
      <c r="D93" t="s">
        <v>14</v>
      </c>
      <c r="E93" s="15">
        <v>44129</v>
      </c>
      <c r="F93" t="s">
        <v>24</v>
      </c>
      <c r="G93">
        <v>96140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4"/>
  <sheetViews>
    <sheetView zoomScale="66" zoomScaleNormal="66" workbookViewId="0">
      <selection activeCell="K95" sqref="K95"/>
    </sheetView>
  </sheetViews>
  <sheetFormatPr defaultColWidth="9" defaultRowHeight="14.5"/>
  <cols>
    <col min="1" max="1" width="28.9090909090909" customWidth="1"/>
    <col min="2" max="2" width="10.8181818181818" customWidth="1"/>
    <col min="3" max="3" width="7.63636363636364" customWidth="1"/>
    <col min="4" max="4" width="13.7272727272727" customWidth="1"/>
    <col min="5" max="5" width="12.9090909090909" customWidth="1"/>
    <col min="6" max="6" width="13.3636363636364" customWidth="1"/>
    <col min="7" max="7" width="12.0909090909091" style="10" customWidth="1"/>
    <col min="8" max="8" width="9.54545454545454" customWidth="1"/>
    <col min="9" max="9" width="11.9090909090909" style="11" customWidth="1"/>
    <col min="12" max="12" width="18.0909090909091" customWidth="1"/>
  </cols>
  <sheetData>
    <row r="1" spans="1:9">
      <c r="A1" t="s">
        <v>1</v>
      </c>
      <c r="B1" t="s">
        <v>2</v>
      </c>
      <c r="C1" t="s">
        <v>4</v>
      </c>
      <c r="D1" t="s">
        <v>7</v>
      </c>
      <c r="E1" t="s">
        <v>5</v>
      </c>
      <c r="F1" t="s">
        <v>3</v>
      </c>
      <c r="G1" s="10" t="s">
        <v>6</v>
      </c>
      <c r="H1" t="s">
        <v>204</v>
      </c>
      <c r="I1" s="11" t="s">
        <v>205</v>
      </c>
    </row>
    <row r="2" hidden="1" spans="1:9">
      <c r="A2" s="11" t="s">
        <v>148</v>
      </c>
      <c r="B2" s="11" t="s">
        <v>16</v>
      </c>
      <c r="C2">
        <v>27</v>
      </c>
      <c r="D2" t="s">
        <v>14</v>
      </c>
      <c r="E2" s="12">
        <v>44061</v>
      </c>
      <c r="F2" s="11" t="s">
        <v>27</v>
      </c>
      <c r="G2" s="10">
        <v>119110</v>
      </c>
      <c r="H2" t="s">
        <v>206</v>
      </c>
      <c r="I2" s="11">
        <f ca="1">(TODAY()-E:E)/360</f>
        <v>5.28611111111111</v>
      </c>
    </row>
    <row r="3" hidden="1" spans="1:13">
      <c r="A3" s="11" t="s">
        <v>26</v>
      </c>
      <c r="B3" s="11" t="s">
        <v>16</v>
      </c>
      <c r="C3">
        <v>27</v>
      </c>
      <c r="D3" t="s">
        <v>14</v>
      </c>
      <c r="E3" s="12">
        <v>44122</v>
      </c>
      <c r="F3" s="11" t="s">
        <v>27</v>
      </c>
      <c r="G3" s="10">
        <v>119110</v>
      </c>
      <c r="H3" t="s">
        <v>207</v>
      </c>
      <c r="I3" s="11">
        <f ca="1">(TODAY()-E:E)/360</f>
        <v>5.11666666666667</v>
      </c>
      <c r="K3" s="13"/>
      <c r="L3" t="s">
        <v>208</v>
      </c>
      <c r="M3">
        <f>COUNTA(staff[Name])</f>
        <v>183</v>
      </c>
    </row>
    <row r="4" hidden="1" spans="1:14">
      <c r="A4" s="11" t="s">
        <v>128</v>
      </c>
      <c r="B4" s="11" t="s">
        <v>9</v>
      </c>
      <c r="C4">
        <v>36</v>
      </c>
      <c r="D4" t="s">
        <v>14</v>
      </c>
      <c r="E4" s="12">
        <v>43958</v>
      </c>
      <c r="F4" s="11" t="s">
        <v>24</v>
      </c>
      <c r="G4" s="10">
        <v>118840</v>
      </c>
      <c r="H4" t="s">
        <v>206</v>
      </c>
      <c r="I4" s="11">
        <f ca="1">(TODAY()-E:E)/360</f>
        <v>5.57222222222222</v>
      </c>
      <c r="L4" t="s">
        <v>209</v>
      </c>
      <c r="M4">
        <f>AVERAGE(G:G)</f>
        <v>77173.7158469945</v>
      </c>
      <c r="N4">
        <f>MEDIAN(staff[Salary])</f>
        <v>75000</v>
      </c>
    </row>
    <row r="5" hidden="1" spans="1:14">
      <c r="A5" s="11" t="s">
        <v>69</v>
      </c>
      <c r="B5" s="11" t="s">
        <v>9</v>
      </c>
      <c r="C5">
        <v>36</v>
      </c>
      <c r="D5" t="s">
        <v>14</v>
      </c>
      <c r="E5" s="12">
        <v>44019</v>
      </c>
      <c r="F5" s="11" t="s">
        <v>24</v>
      </c>
      <c r="G5" s="10">
        <v>118840</v>
      </c>
      <c r="H5" t="s">
        <v>207</v>
      </c>
      <c r="I5" s="11">
        <f ca="1">(TODAY()-E:E)/360</f>
        <v>5.40277777777778</v>
      </c>
      <c r="L5" t="s">
        <v>210</v>
      </c>
      <c r="M5">
        <f>AVERAGE(C:C)</f>
        <v>30.4262295081967</v>
      </c>
      <c r="N5">
        <f>MEDIAN(staff[Age])</f>
        <v>30</v>
      </c>
    </row>
    <row r="6" hidden="1" spans="1:14">
      <c r="A6" s="11" t="s">
        <v>187</v>
      </c>
      <c r="B6" s="11" t="s">
        <v>16</v>
      </c>
      <c r="C6">
        <v>37</v>
      </c>
      <c r="D6" t="s">
        <v>14</v>
      </c>
      <c r="E6" s="12">
        <v>44389</v>
      </c>
      <c r="F6" s="11" t="s">
        <v>27</v>
      </c>
      <c r="G6" s="10">
        <v>118100</v>
      </c>
      <c r="H6" t="s">
        <v>206</v>
      </c>
      <c r="I6" s="11">
        <f ca="1">(TODAY()-E:E)/360</f>
        <v>4.375</v>
      </c>
      <c r="L6" t="s">
        <v>211</v>
      </c>
      <c r="M6">
        <f ca="1">AVERAGE(staff[tenure])</f>
        <v>4.25268670309654</v>
      </c>
      <c r="N6">
        <f ca="1">MEDIAN(staff[tenure])</f>
        <v>4.275</v>
      </c>
    </row>
    <row r="7" hidden="1" spans="1:13">
      <c r="A7" s="11" t="s">
        <v>78</v>
      </c>
      <c r="B7" s="11" t="s">
        <v>16</v>
      </c>
      <c r="C7">
        <v>37</v>
      </c>
      <c r="D7" t="s">
        <v>14</v>
      </c>
      <c r="E7" s="12">
        <v>44451</v>
      </c>
      <c r="F7" s="11" t="s">
        <v>27</v>
      </c>
      <c r="G7" s="10">
        <v>118100</v>
      </c>
      <c r="H7" t="s">
        <v>207</v>
      </c>
      <c r="I7" s="11">
        <f ca="1">(TODAY()-E:E)/360</f>
        <v>4.20277777777778</v>
      </c>
      <c r="L7" t="s">
        <v>212</v>
      </c>
      <c r="M7">
        <f>COUNTIFS(staff[Gender],"Female")</f>
        <v>86</v>
      </c>
    </row>
    <row r="8" hidden="1" spans="1:13">
      <c r="A8" s="11" t="s">
        <v>165</v>
      </c>
      <c r="B8" s="11" t="s">
        <v>9</v>
      </c>
      <c r="C8">
        <v>33</v>
      </c>
      <c r="D8" t="s">
        <v>14</v>
      </c>
      <c r="E8" s="12">
        <v>44103</v>
      </c>
      <c r="F8" s="11" t="s">
        <v>13</v>
      </c>
      <c r="G8" s="10">
        <v>115920</v>
      </c>
      <c r="H8" t="s">
        <v>206</v>
      </c>
      <c r="I8" s="11">
        <f ca="1">(TODAY()-E:E)/360</f>
        <v>5.16944444444444</v>
      </c>
      <c r="L8" t="s">
        <v>213</v>
      </c>
      <c r="M8" s="14">
        <f>M7/M3</f>
        <v>0.469945355191257</v>
      </c>
    </row>
    <row r="9" hidden="1" spans="1:9">
      <c r="A9" s="11" t="s">
        <v>51</v>
      </c>
      <c r="B9" s="11" t="s">
        <v>9</v>
      </c>
      <c r="C9">
        <v>33</v>
      </c>
      <c r="D9" t="s">
        <v>14</v>
      </c>
      <c r="E9" s="12">
        <v>44164</v>
      </c>
      <c r="F9" s="11" t="s">
        <v>13</v>
      </c>
      <c r="G9" s="10">
        <v>115920</v>
      </c>
      <c r="H9" t="s">
        <v>207</v>
      </c>
      <c r="I9" s="11">
        <f ca="1">(TODAY()-E:E)/360</f>
        <v>5</v>
      </c>
    </row>
    <row r="10" hidden="1" spans="1:9">
      <c r="A10" s="11" t="s">
        <v>116</v>
      </c>
      <c r="B10" s="11" t="s">
        <v>214</v>
      </c>
      <c r="C10">
        <v>37</v>
      </c>
      <c r="D10" t="s">
        <v>19</v>
      </c>
      <c r="E10" s="12">
        <v>44085</v>
      </c>
      <c r="F10" s="11" t="s">
        <v>18</v>
      </c>
      <c r="G10" s="10">
        <v>115440</v>
      </c>
      <c r="H10" t="s">
        <v>206</v>
      </c>
      <c r="I10" s="11">
        <f ca="1">(TODAY()-E:E)/360</f>
        <v>5.21944444444444</v>
      </c>
    </row>
    <row r="11" hidden="1" spans="1:9">
      <c r="A11" s="11" t="s">
        <v>17</v>
      </c>
      <c r="B11" s="11" t="s">
        <v>214</v>
      </c>
      <c r="C11">
        <v>37</v>
      </c>
      <c r="D11" t="s">
        <v>19</v>
      </c>
      <c r="E11" s="12">
        <v>44146</v>
      </c>
      <c r="F11" s="11" t="s">
        <v>18</v>
      </c>
      <c r="G11" s="10">
        <v>115440</v>
      </c>
      <c r="H11" t="s">
        <v>207</v>
      </c>
      <c r="I11" s="11">
        <f ca="1">(TODAY()-E:E)/360</f>
        <v>5.05</v>
      </c>
    </row>
    <row r="12" hidden="1" spans="1:9">
      <c r="A12" s="11" t="s">
        <v>150</v>
      </c>
      <c r="B12" s="11" t="s">
        <v>16</v>
      </c>
      <c r="C12">
        <v>36</v>
      </c>
      <c r="D12" t="s">
        <v>14</v>
      </c>
      <c r="E12" s="12">
        <v>44023</v>
      </c>
      <c r="F12" s="11" t="s">
        <v>13</v>
      </c>
      <c r="G12" s="10">
        <v>114890</v>
      </c>
      <c r="H12" t="s">
        <v>206</v>
      </c>
      <c r="I12" s="11">
        <f ca="1">(TODAY()-E:E)/360</f>
        <v>5.39166666666667</v>
      </c>
    </row>
    <row r="13" hidden="1" spans="1:12">
      <c r="A13" s="11" t="s">
        <v>72</v>
      </c>
      <c r="B13" s="11" t="s">
        <v>16</v>
      </c>
      <c r="C13">
        <v>36</v>
      </c>
      <c r="D13" t="s">
        <v>14</v>
      </c>
      <c r="E13" s="12">
        <v>44085</v>
      </c>
      <c r="F13" s="11" t="s">
        <v>13</v>
      </c>
      <c r="G13" s="10">
        <v>114890</v>
      </c>
      <c r="H13" t="s">
        <v>207</v>
      </c>
      <c r="I13" s="11">
        <f ca="1">(TODAY()-E:E)/360</f>
        <v>5.21944444444444</v>
      </c>
      <c r="L13" t="s">
        <v>215</v>
      </c>
    </row>
    <row r="14" hidden="1" spans="1:9">
      <c r="A14" s="11" t="s">
        <v>139</v>
      </c>
      <c r="B14" s="11" t="s">
        <v>16</v>
      </c>
      <c r="C14">
        <v>44</v>
      </c>
      <c r="D14" t="s">
        <v>14</v>
      </c>
      <c r="E14" s="12">
        <v>44985</v>
      </c>
      <c r="F14" s="11" t="s">
        <v>24</v>
      </c>
      <c r="G14" s="10">
        <v>114870</v>
      </c>
      <c r="H14" t="s">
        <v>206</v>
      </c>
      <c r="I14" s="11">
        <f ca="1">(TODAY()-E:E)/360</f>
        <v>2.71944444444444</v>
      </c>
    </row>
    <row r="15" hidden="1" spans="1:12">
      <c r="A15" s="11" t="s">
        <v>80</v>
      </c>
      <c r="B15" s="11" t="s">
        <v>16</v>
      </c>
      <c r="C15">
        <v>43</v>
      </c>
      <c r="D15" t="s">
        <v>14</v>
      </c>
      <c r="E15" s="12">
        <v>45045</v>
      </c>
      <c r="F15" s="11" t="s">
        <v>24</v>
      </c>
      <c r="G15" s="10">
        <v>114870</v>
      </c>
      <c r="H15" t="s">
        <v>207</v>
      </c>
      <c r="I15" s="11">
        <f ca="1">(TODAY()-E:E)/360</f>
        <v>2.55277777777778</v>
      </c>
      <c r="L15">
        <f ca="1">VLOOKUP(L13,staff[],7,FALSE)</f>
        <v>75000</v>
      </c>
    </row>
    <row r="16" hidden="1" spans="1:9">
      <c r="A16" s="11" t="s">
        <v>189</v>
      </c>
      <c r="B16" s="11" t="s">
        <v>16</v>
      </c>
      <c r="C16">
        <v>30</v>
      </c>
      <c r="D16" t="s">
        <v>14</v>
      </c>
      <c r="E16" s="12">
        <v>44789</v>
      </c>
      <c r="F16" s="11" t="s">
        <v>13</v>
      </c>
      <c r="G16" s="10">
        <v>114180</v>
      </c>
      <c r="H16" t="s">
        <v>206</v>
      </c>
      <c r="I16" s="11">
        <f ca="1">(TODAY()-E:E)/360</f>
        <v>3.26388888888889</v>
      </c>
    </row>
    <row r="17" hidden="1" spans="1:9">
      <c r="A17" s="11" t="s">
        <v>93</v>
      </c>
      <c r="B17" s="11" t="s">
        <v>16</v>
      </c>
      <c r="C17">
        <v>30</v>
      </c>
      <c r="D17" t="s">
        <v>14</v>
      </c>
      <c r="E17" s="12">
        <v>44850</v>
      </c>
      <c r="F17" s="11" t="s">
        <v>13</v>
      </c>
      <c r="G17" s="10">
        <v>114180</v>
      </c>
      <c r="H17" t="s">
        <v>207</v>
      </c>
      <c r="I17" s="11">
        <f ca="1">(TODAY()-E:E)/360</f>
        <v>3.09444444444444</v>
      </c>
    </row>
    <row r="18" hidden="1" spans="1:9">
      <c r="A18" s="11" t="s">
        <v>179</v>
      </c>
      <c r="B18" s="11" t="s">
        <v>9</v>
      </c>
      <c r="C18">
        <v>27</v>
      </c>
      <c r="D18" t="s">
        <v>50</v>
      </c>
      <c r="E18" s="12">
        <v>44547</v>
      </c>
      <c r="F18" s="11" t="s">
        <v>13</v>
      </c>
      <c r="G18" s="10">
        <v>113280</v>
      </c>
      <c r="H18" t="s">
        <v>206</v>
      </c>
      <c r="I18" s="11">
        <f ca="1">(TODAY()-E:E)/360</f>
        <v>3.93611111111111</v>
      </c>
    </row>
    <row r="19" hidden="1" spans="1:9">
      <c r="A19" s="11" t="s">
        <v>76</v>
      </c>
      <c r="B19" s="11" t="s">
        <v>9</v>
      </c>
      <c r="C19">
        <v>27</v>
      </c>
      <c r="D19" t="s">
        <v>50</v>
      </c>
      <c r="E19" s="12">
        <v>44609</v>
      </c>
      <c r="F19" s="11" t="s">
        <v>13</v>
      </c>
      <c r="G19" s="10">
        <v>113280</v>
      </c>
      <c r="H19" t="s">
        <v>207</v>
      </c>
      <c r="I19" s="11">
        <f ca="1">(TODAY()-E:E)/360</f>
        <v>3.76388888888889</v>
      </c>
    </row>
    <row r="20" spans="1:9">
      <c r="A20" s="11" t="s">
        <v>149</v>
      </c>
      <c r="B20" s="11" t="s">
        <v>9</v>
      </c>
      <c r="C20">
        <v>22</v>
      </c>
      <c r="D20" t="s">
        <v>11</v>
      </c>
      <c r="E20" s="12">
        <v>44384</v>
      </c>
      <c r="F20" s="11" t="s">
        <v>10</v>
      </c>
      <c r="G20" s="10">
        <v>112780</v>
      </c>
      <c r="H20" t="s">
        <v>206</v>
      </c>
      <c r="I20" s="11">
        <f ca="1">(TODAY()-E:E)/360</f>
        <v>4.38888888888889</v>
      </c>
    </row>
    <row r="21" spans="1:9">
      <c r="A21" s="11" t="s">
        <v>8</v>
      </c>
      <c r="B21" s="11" t="s">
        <v>9</v>
      </c>
      <c r="C21">
        <v>22</v>
      </c>
      <c r="D21" t="s">
        <v>11</v>
      </c>
      <c r="E21" s="12">
        <v>44446</v>
      </c>
      <c r="F21" s="11" t="s">
        <v>10</v>
      </c>
      <c r="G21" s="10">
        <v>112780</v>
      </c>
      <c r="H21" t="s">
        <v>207</v>
      </c>
      <c r="I21" s="11">
        <f ca="1">(TODAY()-E:E)/360</f>
        <v>4.21666666666667</v>
      </c>
    </row>
    <row r="22" hidden="1" spans="1:9">
      <c r="A22" s="11" t="s">
        <v>112</v>
      </c>
      <c r="B22" s="11" t="s">
        <v>9</v>
      </c>
      <c r="C22">
        <v>20</v>
      </c>
      <c r="D22" t="s">
        <v>14</v>
      </c>
      <c r="E22" s="12">
        <v>44122</v>
      </c>
      <c r="F22" s="11" t="s">
        <v>24</v>
      </c>
      <c r="G22" s="10">
        <v>112650</v>
      </c>
      <c r="H22" t="s">
        <v>206</v>
      </c>
      <c r="I22" s="11">
        <f ca="1">(TODAY()-E:E)/360</f>
        <v>5.11666666666667</v>
      </c>
    </row>
    <row r="23" hidden="1" spans="1:9">
      <c r="A23" s="11" t="s">
        <v>126</v>
      </c>
      <c r="B23" s="11" t="s">
        <v>9</v>
      </c>
      <c r="C23">
        <v>34</v>
      </c>
      <c r="D23" t="s">
        <v>14</v>
      </c>
      <c r="E23" s="12">
        <v>44642</v>
      </c>
      <c r="F23" s="11" t="s">
        <v>13</v>
      </c>
      <c r="G23" s="10">
        <v>112650</v>
      </c>
      <c r="H23" t="s">
        <v>206</v>
      </c>
      <c r="I23" s="11">
        <f ca="1">(TODAY()-E:E)/360</f>
        <v>3.67222222222222</v>
      </c>
    </row>
    <row r="24" hidden="1" spans="1:9">
      <c r="A24" s="11" t="s">
        <v>64</v>
      </c>
      <c r="B24" s="11" t="s">
        <v>9</v>
      </c>
      <c r="C24">
        <v>20</v>
      </c>
      <c r="D24" t="s">
        <v>14</v>
      </c>
      <c r="E24" s="12">
        <v>44183</v>
      </c>
      <c r="F24" s="11" t="s">
        <v>24</v>
      </c>
      <c r="G24" s="10">
        <v>112650</v>
      </c>
      <c r="H24" t="s">
        <v>207</v>
      </c>
      <c r="I24" s="11">
        <f ca="1">(TODAY()-E:E)/360</f>
        <v>4.94722222222222</v>
      </c>
    </row>
    <row r="25" hidden="1" spans="1:9">
      <c r="A25" s="11" t="s">
        <v>141</v>
      </c>
      <c r="B25" s="11" t="s">
        <v>16</v>
      </c>
      <c r="C25">
        <v>30</v>
      </c>
      <c r="D25" t="s">
        <v>14</v>
      </c>
      <c r="E25" s="12">
        <v>44800</v>
      </c>
      <c r="F25" s="11" t="s">
        <v>13</v>
      </c>
      <c r="G25" s="10">
        <v>112570</v>
      </c>
      <c r="H25" t="s">
        <v>206</v>
      </c>
      <c r="I25" s="11">
        <f ca="1">(TODAY()-E:E)/360</f>
        <v>3.23333333333333</v>
      </c>
    </row>
    <row r="26" hidden="1" spans="1:9">
      <c r="A26" s="11" t="s">
        <v>21</v>
      </c>
      <c r="B26" s="11" t="s">
        <v>16</v>
      </c>
      <c r="C26">
        <v>30</v>
      </c>
      <c r="D26" t="s">
        <v>14</v>
      </c>
      <c r="E26" s="12">
        <v>44861</v>
      </c>
      <c r="F26" s="11" t="s">
        <v>13</v>
      </c>
      <c r="G26" s="10">
        <v>112570</v>
      </c>
      <c r="H26" t="s">
        <v>207</v>
      </c>
      <c r="I26" s="11">
        <f ca="1">(TODAY()-E:E)/360</f>
        <v>3.06388888888889</v>
      </c>
    </row>
    <row r="27" hidden="1" spans="1:9">
      <c r="A27" s="11" t="s">
        <v>147</v>
      </c>
      <c r="B27" s="11" t="s">
        <v>9</v>
      </c>
      <c r="C27">
        <v>29</v>
      </c>
      <c r="D27" t="s">
        <v>19</v>
      </c>
      <c r="E27" s="12">
        <v>44119</v>
      </c>
      <c r="F27" s="11" t="s">
        <v>24</v>
      </c>
      <c r="G27" s="10">
        <v>112110</v>
      </c>
      <c r="H27" t="s">
        <v>206</v>
      </c>
      <c r="I27" s="11">
        <f ca="1">(TODAY()-E:E)/360</f>
        <v>5.125</v>
      </c>
    </row>
    <row r="28" hidden="1" spans="1:9">
      <c r="A28" s="11" t="s">
        <v>28</v>
      </c>
      <c r="B28" s="11" t="s">
        <v>9</v>
      </c>
      <c r="C28">
        <v>29</v>
      </c>
      <c r="D28" t="s">
        <v>19</v>
      </c>
      <c r="E28" s="12">
        <v>44180</v>
      </c>
      <c r="F28" s="11" t="s">
        <v>24</v>
      </c>
      <c r="G28" s="10">
        <v>112110</v>
      </c>
      <c r="H28" t="s">
        <v>207</v>
      </c>
      <c r="I28" s="11">
        <f ca="1">(TODAY()-E:E)/360</f>
        <v>4.95555555555556</v>
      </c>
    </row>
    <row r="29" hidden="1" spans="1:9">
      <c r="A29" s="11" t="s">
        <v>121</v>
      </c>
      <c r="B29" s="11" t="s">
        <v>9</v>
      </c>
      <c r="C29">
        <v>25</v>
      </c>
      <c r="D29" t="s">
        <v>11</v>
      </c>
      <c r="E29" s="12">
        <v>44665</v>
      </c>
      <c r="F29" s="11" t="s">
        <v>13</v>
      </c>
      <c r="G29" s="10">
        <v>109190</v>
      </c>
      <c r="H29" t="s">
        <v>206</v>
      </c>
      <c r="I29" s="11">
        <f ca="1">(TODAY()-E:E)/360</f>
        <v>3.60833333333333</v>
      </c>
    </row>
    <row r="30" hidden="1" spans="1:9">
      <c r="A30" s="11" t="s">
        <v>53</v>
      </c>
      <c r="B30" s="11" t="s">
        <v>9</v>
      </c>
      <c r="C30">
        <v>25</v>
      </c>
      <c r="D30" t="s">
        <v>11</v>
      </c>
      <c r="E30" s="12">
        <v>44726</v>
      </c>
      <c r="F30" s="11" t="s">
        <v>13</v>
      </c>
      <c r="G30" s="10">
        <v>109190</v>
      </c>
      <c r="H30" t="s">
        <v>207</v>
      </c>
      <c r="I30" s="11">
        <f ca="1">(TODAY()-E:E)/360</f>
        <v>3.43888888888889</v>
      </c>
    </row>
    <row r="31" spans="1:9">
      <c r="A31" s="11" t="s">
        <v>175</v>
      </c>
      <c r="B31" s="11" t="s">
        <v>16</v>
      </c>
      <c r="C31">
        <v>38</v>
      </c>
      <c r="D31" t="s">
        <v>44</v>
      </c>
      <c r="E31" s="12">
        <v>44316</v>
      </c>
      <c r="F31" s="11" t="s">
        <v>10</v>
      </c>
      <c r="G31" s="10">
        <v>109160</v>
      </c>
      <c r="H31" t="s">
        <v>206</v>
      </c>
      <c r="I31" s="11">
        <f ca="1">(TODAY()-E:E)/360</f>
        <v>4.57777777777778</v>
      </c>
    </row>
    <row r="32" spans="1:9">
      <c r="A32" s="11" t="s">
        <v>75</v>
      </c>
      <c r="B32" s="11" t="s">
        <v>16</v>
      </c>
      <c r="C32">
        <v>38</v>
      </c>
      <c r="D32" t="s">
        <v>44</v>
      </c>
      <c r="E32" s="12">
        <v>44377</v>
      </c>
      <c r="F32" s="11" t="s">
        <v>10</v>
      </c>
      <c r="G32" s="10">
        <v>109160</v>
      </c>
      <c r="H32" t="s">
        <v>207</v>
      </c>
      <c r="I32" s="11">
        <f ca="1">(TODAY()-E:E)/360</f>
        <v>4.40833333333333</v>
      </c>
    </row>
    <row r="33" hidden="1" spans="1:9">
      <c r="A33" s="11" t="s">
        <v>194</v>
      </c>
      <c r="B33" s="11" t="s">
        <v>9</v>
      </c>
      <c r="C33">
        <v>20</v>
      </c>
      <c r="D33" t="s">
        <v>14</v>
      </c>
      <c r="E33" s="12">
        <v>44397</v>
      </c>
      <c r="F33" s="11" t="s">
        <v>24</v>
      </c>
      <c r="G33" s="10">
        <v>107700</v>
      </c>
      <c r="H33" t="s">
        <v>206</v>
      </c>
      <c r="I33" s="11">
        <f ca="1">(TODAY()-E:E)/360</f>
        <v>4.35277777777778</v>
      </c>
    </row>
    <row r="34" hidden="1" spans="1:9">
      <c r="A34" s="11" t="s">
        <v>31</v>
      </c>
      <c r="B34" s="11" t="s">
        <v>9</v>
      </c>
      <c r="C34">
        <v>20</v>
      </c>
      <c r="D34" t="s">
        <v>14</v>
      </c>
      <c r="E34" s="12">
        <v>44459</v>
      </c>
      <c r="F34" s="11" t="s">
        <v>24</v>
      </c>
      <c r="G34" s="10">
        <v>107700</v>
      </c>
      <c r="H34" t="s">
        <v>207</v>
      </c>
      <c r="I34" s="11">
        <f ca="1">(TODAY()-E:E)/360</f>
        <v>4.18055555555556</v>
      </c>
    </row>
    <row r="35" hidden="1" spans="1:9">
      <c r="A35" s="11" t="s">
        <v>186</v>
      </c>
      <c r="B35" s="11" t="s">
        <v>9</v>
      </c>
      <c r="C35">
        <v>23</v>
      </c>
      <c r="D35" t="s">
        <v>14</v>
      </c>
      <c r="E35" s="12">
        <v>44378</v>
      </c>
      <c r="F35" s="11" t="s">
        <v>13</v>
      </c>
      <c r="G35" s="10">
        <v>106460</v>
      </c>
      <c r="H35" t="s">
        <v>206</v>
      </c>
      <c r="I35" s="11">
        <f ca="1">(TODAY()-E:E)/360</f>
        <v>4.40555555555556</v>
      </c>
    </row>
    <row r="36" hidden="1" spans="1:9">
      <c r="A36" s="11" t="s">
        <v>95</v>
      </c>
      <c r="B36" s="11" t="s">
        <v>9</v>
      </c>
      <c r="C36">
        <v>23</v>
      </c>
      <c r="D36" t="s">
        <v>14</v>
      </c>
      <c r="E36" s="12">
        <v>44440</v>
      </c>
      <c r="F36" s="11" t="s">
        <v>13</v>
      </c>
      <c r="G36" s="10">
        <v>106460</v>
      </c>
      <c r="H36" t="s">
        <v>207</v>
      </c>
      <c r="I36" s="11">
        <f ca="1">(TODAY()-E:E)/360</f>
        <v>4.23333333333333</v>
      </c>
    </row>
    <row r="37" hidden="1" spans="1:9">
      <c r="A37" s="11" t="s">
        <v>158</v>
      </c>
      <c r="B37" s="11" t="s">
        <v>16</v>
      </c>
      <c r="C37">
        <v>28</v>
      </c>
      <c r="D37" t="s">
        <v>14</v>
      </c>
      <c r="E37" s="12">
        <v>44425</v>
      </c>
      <c r="F37" s="11" t="s">
        <v>13</v>
      </c>
      <c r="G37" s="10">
        <v>104770</v>
      </c>
      <c r="H37" t="s">
        <v>206</v>
      </c>
      <c r="I37" s="11">
        <f ca="1">(TODAY()-E:E)/360</f>
        <v>4.275</v>
      </c>
    </row>
    <row r="38" hidden="1" spans="1:9">
      <c r="A38" s="11" t="s">
        <v>82</v>
      </c>
      <c r="B38" s="11" t="s">
        <v>16</v>
      </c>
      <c r="C38">
        <v>28</v>
      </c>
      <c r="D38" t="s">
        <v>14</v>
      </c>
      <c r="E38" s="12">
        <v>44486</v>
      </c>
      <c r="F38" s="11" t="s">
        <v>13</v>
      </c>
      <c r="G38" s="10">
        <v>104770</v>
      </c>
      <c r="H38" t="s">
        <v>207</v>
      </c>
      <c r="I38" s="11">
        <f ca="1">(TODAY()-E:E)/360</f>
        <v>4.10555555555556</v>
      </c>
    </row>
    <row r="39" hidden="1" spans="1:9">
      <c r="A39" s="11" t="s">
        <v>122</v>
      </c>
      <c r="B39" s="11" t="s">
        <v>16</v>
      </c>
      <c r="C39">
        <v>40</v>
      </c>
      <c r="D39" t="s">
        <v>14</v>
      </c>
      <c r="E39" s="12">
        <v>44320</v>
      </c>
      <c r="F39" s="11" t="s">
        <v>24</v>
      </c>
      <c r="G39" s="10">
        <v>104410</v>
      </c>
      <c r="H39" t="s">
        <v>206</v>
      </c>
      <c r="I39" s="11">
        <f ca="1">(TODAY()-E:E)/360</f>
        <v>4.56666666666667</v>
      </c>
    </row>
    <row r="40" hidden="1" spans="1:9">
      <c r="A40" s="11" t="s">
        <v>99</v>
      </c>
      <c r="B40" s="11" t="s">
        <v>16</v>
      </c>
      <c r="C40">
        <v>40</v>
      </c>
      <c r="D40" t="s">
        <v>14</v>
      </c>
      <c r="E40" s="12">
        <v>44381</v>
      </c>
      <c r="F40" s="11" t="s">
        <v>24</v>
      </c>
      <c r="G40" s="10">
        <v>104410</v>
      </c>
      <c r="H40" t="s">
        <v>207</v>
      </c>
      <c r="I40" s="11">
        <f ca="1">(TODAY()-E:E)/360</f>
        <v>4.39722222222222</v>
      </c>
    </row>
    <row r="41" hidden="1" spans="1:9">
      <c r="A41" s="11" t="s">
        <v>190</v>
      </c>
      <c r="B41" s="11" t="s">
        <v>16</v>
      </c>
      <c r="C41">
        <v>28</v>
      </c>
      <c r="D41" t="s">
        <v>14</v>
      </c>
      <c r="E41" s="12">
        <v>44590</v>
      </c>
      <c r="F41" s="11" t="s">
        <v>13</v>
      </c>
      <c r="G41" s="10">
        <v>104120</v>
      </c>
      <c r="H41" t="s">
        <v>206</v>
      </c>
      <c r="I41" s="11">
        <f ca="1">(TODAY()-E:E)/360</f>
        <v>3.81666666666667</v>
      </c>
    </row>
    <row r="42" hidden="1" spans="1:9">
      <c r="A42" s="11" t="s">
        <v>90</v>
      </c>
      <c r="B42" s="11" t="s">
        <v>16</v>
      </c>
      <c r="C42">
        <v>28</v>
      </c>
      <c r="D42" t="s">
        <v>14</v>
      </c>
      <c r="E42" s="12">
        <v>44649</v>
      </c>
      <c r="F42" s="11" t="s">
        <v>13</v>
      </c>
      <c r="G42" s="10">
        <v>104120</v>
      </c>
      <c r="H42" t="s">
        <v>207</v>
      </c>
      <c r="I42" s="11">
        <f ca="1">(TODAY()-E:E)/360</f>
        <v>3.65277777777778</v>
      </c>
    </row>
    <row r="43" hidden="1" spans="1:9">
      <c r="A43" s="11" t="s">
        <v>114</v>
      </c>
      <c r="B43" s="11" t="s">
        <v>9</v>
      </c>
      <c r="C43">
        <v>31</v>
      </c>
      <c r="D43" t="s">
        <v>14</v>
      </c>
      <c r="E43" s="12">
        <v>44663</v>
      </c>
      <c r="F43" s="11" t="s">
        <v>13</v>
      </c>
      <c r="G43" s="10">
        <v>103550</v>
      </c>
      <c r="H43" t="s">
        <v>206</v>
      </c>
      <c r="I43" s="11">
        <f ca="1">(TODAY()-E:E)/360</f>
        <v>3.61388888888889</v>
      </c>
    </row>
    <row r="44" hidden="1" spans="1:9">
      <c r="A44" s="11" t="s">
        <v>57</v>
      </c>
      <c r="B44" s="11" t="s">
        <v>9</v>
      </c>
      <c r="C44">
        <v>31</v>
      </c>
      <c r="D44" t="s">
        <v>14</v>
      </c>
      <c r="E44" s="12">
        <v>44724</v>
      </c>
      <c r="F44" s="11" t="s">
        <v>13</v>
      </c>
      <c r="G44" s="10">
        <v>103550</v>
      </c>
      <c r="H44" t="s">
        <v>207</v>
      </c>
      <c r="I44" s="11">
        <f ca="1">(TODAY()-E:E)/360</f>
        <v>3.44444444444444</v>
      </c>
    </row>
    <row r="45" hidden="1" spans="1:9">
      <c r="A45" s="11" t="s">
        <v>137</v>
      </c>
      <c r="B45" s="11" t="s">
        <v>9</v>
      </c>
      <c r="C45">
        <v>24</v>
      </c>
      <c r="D45" t="s">
        <v>14</v>
      </c>
      <c r="E45" s="12">
        <v>44625</v>
      </c>
      <c r="F45" s="11" t="s">
        <v>24</v>
      </c>
      <c r="G45" s="10">
        <v>100420</v>
      </c>
      <c r="H45" t="s">
        <v>206</v>
      </c>
      <c r="I45" s="11">
        <f ca="1">(TODAY()-E:E)/360</f>
        <v>3.71944444444444</v>
      </c>
    </row>
    <row r="46" hidden="1" spans="1:9">
      <c r="A46" s="11" t="s">
        <v>92</v>
      </c>
      <c r="B46" s="11" t="s">
        <v>9</v>
      </c>
      <c r="C46">
        <v>24</v>
      </c>
      <c r="D46" t="s">
        <v>14</v>
      </c>
      <c r="E46" s="12">
        <v>44686</v>
      </c>
      <c r="F46" s="11" t="s">
        <v>24</v>
      </c>
      <c r="G46" s="10">
        <v>100420</v>
      </c>
      <c r="H46" t="s">
        <v>207</v>
      </c>
      <c r="I46" s="11">
        <f ca="1">(TODAY()-E:E)/360</f>
        <v>3.55</v>
      </c>
    </row>
    <row r="47" hidden="1" spans="1:9">
      <c r="A47" s="11" t="s">
        <v>144</v>
      </c>
      <c r="B47" s="11" t="s">
        <v>16</v>
      </c>
      <c r="C47">
        <v>28</v>
      </c>
      <c r="D47" t="s">
        <v>14</v>
      </c>
      <c r="E47" s="12">
        <v>44571</v>
      </c>
      <c r="F47" s="11" t="s">
        <v>13</v>
      </c>
      <c r="G47" s="10">
        <v>99970</v>
      </c>
      <c r="H47" t="s">
        <v>206</v>
      </c>
      <c r="I47" s="11">
        <f ca="1">(TODAY()-E:E)/360</f>
        <v>3.86944444444444</v>
      </c>
    </row>
    <row r="48" hidden="1" spans="1:9">
      <c r="A48" s="11" t="s">
        <v>55</v>
      </c>
      <c r="B48" s="11" t="s">
        <v>16</v>
      </c>
      <c r="C48">
        <v>28</v>
      </c>
      <c r="D48" t="s">
        <v>14</v>
      </c>
      <c r="E48" s="12">
        <v>44630</v>
      </c>
      <c r="F48" s="11" t="s">
        <v>13</v>
      </c>
      <c r="G48" s="10">
        <v>99970</v>
      </c>
      <c r="H48" t="s">
        <v>207</v>
      </c>
      <c r="I48" s="11">
        <f ca="1">(TODAY()-E:E)/360</f>
        <v>3.70555555555556</v>
      </c>
    </row>
    <row r="49" hidden="1" spans="1:9">
      <c r="A49" s="11" t="s">
        <v>176</v>
      </c>
      <c r="B49" s="11" t="s">
        <v>9</v>
      </c>
      <c r="C49">
        <v>40</v>
      </c>
      <c r="D49" t="s">
        <v>14</v>
      </c>
      <c r="E49" s="12">
        <v>44204</v>
      </c>
      <c r="F49" s="11" t="s">
        <v>13</v>
      </c>
      <c r="G49" s="10">
        <v>99750</v>
      </c>
      <c r="H49" t="s">
        <v>206</v>
      </c>
      <c r="I49" s="11">
        <f ca="1">(TODAY()-E:E)/360</f>
        <v>4.88888888888889</v>
      </c>
    </row>
    <row r="50" hidden="1" spans="1:9">
      <c r="A50" s="11" t="s">
        <v>33</v>
      </c>
      <c r="B50" s="11" t="s">
        <v>9</v>
      </c>
      <c r="C50">
        <v>40</v>
      </c>
      <c r="D50" t="s">
        <v>14</v>
      </c>
      <c r="E50" s="12">
        <v>44263</v>
      </c>
      <c r="F50" s="11" t="s">
        <v>13</v>
      </c>
      <c r="G50" s="10">
        <v>99750</v>
      </c>
      <c r="H50" t="s">
        <v>207</v>
      </c>
      <c r="I50" s="11">
        <f ca="1">(TODAY()-E:E)/360</f>
        <v>4.725</v>
      </c>
    </row>
    <row r="51" hidden="1" spans="1:9">
      <c r="A51" s="11" t="s">
        <v>123</v>
      </c>
      <c r="B51" s="11" t="s">
        <v>9</v>
      </c>
      <c r="C51">
        <v>30</v>
      </c>
      <c r="D51" t="s">
        <v>14</v>
      </c>
      <c r="E51" s="12">
        <v>44544</v>
      </c>
      <c r="F51" s="11" t="s">
        <v>18</v>
      </c>
      <c r="G51" s="10">
        <v>96800</v>
      </c>
      <c r="H51" t="s">
        <v>206</v>
      </c>
      <c r="I51" s="11">
        <f ca="1">(TODAY()-E:E)/360</f>
        <v>3.94444444444444</v>
      </c>
    </row>
    <row r="52" hidden="1" spans="1:9">
      <c r="A52" s="11" t="s">
        <v>100</v>
      </c>
      <c r="B52" s="11" t="s">
        <v>9</v>
      </c>
      <c r="C52">
        <v>30</v>
      </c>
      <c r="D52" t="s">
        <v>14</v>
      </c>
      <c r="E52" s="12">
        <v>44606</v>
      </c>
      <c r="F52" s="11" t="s">
        <v>18</v>
      </c>
      <c r="G52" s="10">
        <v>96800</v>
      </c>
      <c r="H52" t="s">
        <v>207</v>
      </c>
      <c r="I52" s="11">
        <f ca="1">(TODAY()-E:E)/360</f>
        <v>3.77222222222222</v>
      </c>
    </row>
    <row r="53" hidden="1" spans="1:9">
      <c r="A53" s="11" t="s">
        <v>203</v>
      </c>
      <c r="B53" s="11" t="s">
        <v>16</v>
      </c>
      <c r="C53">
        <v>33</v>
      </c>
      <c r="D53" t="s">
        <v>14</v>
      </c>
      <c r="E53" s="12">
        <v>44129</v>
      </c>
      <c r="F53" s="11" t="s">
        <v>24</v>
      </c>
      <c r="G53" s="10">
        <v>96140</v>
      </c>
      <c r="H53" t="s">
        <v>206</v>
      </c>
      <c r="I53" s="11">
        <f ca="1">(TODAY()-E:E)/360</f>
        <v>5.09722222222222</v>
      </c>
    </row>
    <row r="54" hidden="1" spans="1:9">
      <c r="A54" s="11" t="s">
        <v>56</v>
      </c>
      <c r="B54" s="11" t="s">
        <v>16</v>
      </c>
      <c r="C54">
        <v>33</v>
      </c>
      <c r="D54" t="s">
        <v>14</v>
      </c>
      <c r="E54" s="12">
        <v>44190</v>
      </c>
      <c r="F54" s="11" t="s">
        <v>24</v>
      </c>
      <c r="G54" s="10">
        <v>96140</v>
      </c>
      <c r="H54" t="s">
        <v>207</v>
      </c>
      <c r="I54" s="11">
        <f ca="1">(TODAY()-E:E)/360</f>
        <v>4.92777777777778</v>
      </c>
    </row>
    <row r="55" spans="1:9">
      <c r="A55" s="11" t="s">
        <v>118</v>
      </c>
      <c r="B55" s="11" t="s">
        <v>16</v>
      </c>
      <c r="C55">
        <v>25</v>
      </c>
      <c r="D55" t="s">
        <v>14</v>
      </c>
      <c r="E55" s="12">
        <v>44144</v>
      </c>
      <c r="F55" s="11" t="s">
        <v>10</v>
      </c>
      <c r="G55" s="10">
        <v>92700</v>
      </c>
      <c r="H55" t="s">
        <v>206</v>
      </c>
      <c r="I55" s="11">
        <f ca="1">(TODAY()-E:E)/360</f>
        <v>5.05555555555556</v>
      </c>
    </row>
    <row r="56" spans="1:9">
      <c r="A56" s="11" t="s">
        <v>86</v>
      </c>
      <c r="B56" s="11" t="s">
        <v>16</v>
      </c>
      <c r="C56">
        <v>25</v>
      </c>
      <c r="D56" t="s">
        <v>14</v>
      </c>
      <c r="E56" s="12">
        <v>44205</v>
      </c>
      <c r="F56" s="11" t="s">
        <v>10</v>
      </c>
      <c r="G56" s="10">
        <v>92700</v>
      </c>
      <c r="H56" t="s">
        <v>207</v>
      </c>
      <c r="I56" s="11">
        <f ca="1">(TODAY()-E:E)/360</f>
        <v>4.88611111111111</v>
      </c>
    </row>
    <row r="57" hidden="1" spans="1:9">
      <c r="A57" s="11" t="s">
        <v>168</v>
      </c>
      <c r="B57" s="11" t="s">
        <v>16</v>
      </c>
      <c r="C57">
        <v>34</v>
      </c>
      <c r="D57" t="s">
        <v>14</v>
      </c>
      <c r="E57" s="12">
        <v>44383</v>
      </c>
      <c r="F57" s="11" t="s">
        <v>18</v>
      </c>
      <c r="G57" s="10">
        <v>92450</v>
      </c>
      <c r="H57" t="s">
        <v>206</v>
      </c>
      <c r="I57" s="11">
        <f ca="1">(TODAY()-E:E)/360</f>
        <v>4.39166666666667</v>
      </c>
    </row>
    <row r="58" hidden="1" spans="1:9">
      <c r="A58" s="11" t="s">
        <v>63</v>
      </c>
      <c r="B58" s="11" t="s">
        <v>16</v>
      </c>
      <c r="C58">
        <v>34</v>
      </c>
      <c r="D58" t="s">
        <v>14</v>
      </c>
      <c r="E58" s="12">
        <v>44445</v>
      </c>
      <c r="F58" s="11" t="s">
        <v>18</v>
      </c>
      <c r="G58" s="10">
        <v>92450</v>
      </c>
      <c r="H58" t="s">
        <v>207</v>
      </c>
      <c r="I58" s="11">
        <f ca="1">(TODAY()-E:E)/360</f>
        <v>4.21944444444444</v>
      </c>
    </row>
    <row r="59" hidden="1" spans="1:9">
      <c r="A59" s="11" t="s">
        <v>160</v>
      </c>
      <c r="B59" s="11" t="s">
        <v>9</v>
      </c>
      <c r="C59">
        <v>27</v>
      </c>
      <c r="D59" t="s">
        <v>11</v>
      </c>
      <c r="E59" s="12">
        <v>44174</v>
      </c>
      <c r="F59" s="11" t="s">
        <v>18</v>
      </c>
      <c r="G59" s="10">
        <v>91650</v>
      </c>
      <c r="H59" t="s">
        <v>206</v>
      </c>
      <c r="I59" s="11">
        <f ca="1">(TODAY()-E:E)/360</f>
        <v>4.97222222222222</v>
      </c>
    </row>
    <row r="60" hidden="1" spans="1:9">
      <c r="A60" s="11" t="s">
        <v>97</v>
      </c>
      <c r="B60" s="11" t="s">
        <v>9</v>
      </c>
      <c r="C60">
        <v>27</v>
      </c>
      <c r="D60" t="s">
        <v>11</v>
      </c>
      <c r="E60" s="12">
        <v>44236</v>
      </c>
      <c r="F60" s="11" t="s">
        <v>18</v>
      </c>
      <c r="G60" s="10">
        <v>91650</v>
      </c>
      <c r="H60" t="s">
        <v>207</v>
      </c>
      <c r="I60" s="11">
        <f ca="1">(TODAY()-E:E)/360</f>
        <v>4.8</v>
      </c>
    </row>
    <row r="61" hidden="1" spans="1:9">
      <c r="A61" s="11" t="s">
        <v>119</v>
      </c>
      <c r="B61" s="11" t="s">
        <v>214</v>
      </c>
      <c r="C61">
        <v>32</v>
      </c>
      <c r="D61" t="s">
        <v>14</v>
      </c>
      <c r="E61" s="12">
        <v>44713</v>
      </c>
      <c r="F61" s="11" t="s">
        <v>24</v>
      </c>
      <c r="G61" s="10">
        <v>91310</v>
      </c>
      <c r="H61" t="s">
        <v>206</v>
      </c>
      <c r="I61" s="11">
        <f ca="1">(TODAY()-E:E)/360</f>
        <v>3.475</v>
      </c>
    </row>
    <row r="62" hidden="1" spans="1:9">
      <c r="A62" s="11" t="s">
        <v>81</v>
      </c>
      <c r="B62" s="11" t="s">
        <v>214</v>
      </c>
      <c r="C62">
        <v>32</v>
      </c>
      <c r="D62" t="s">
        <v>14</v>
      </c>
      <c r="E62" s="12">
        <v>44774</v>
      </c>
      <c r="F62" s="11" t="s">
        <v>24</v>
      </c>
      <c r="G62" s="10">
        <v>91310</v>
      </c>
      <c r="H62" t="s">
        <v>207</v>
      </c>
      <c r="I62" s="11">
        <f ca="1">(TODAY()-E:E)/360</f>
        <v>3.30555555555556</v>
      </c>
    </row>
    <row r="63" hidden="1" spans="1:9">
      <c r="A63" s="11" t="s">
        <v>163</v>
      </c>
      <c r="B63" s="11" t="s">
        <v>214</v>
      </c>
      <c r="C63">
        <v>27</v>
      </c>
      <c r="D63" t="s">
        <v>11</v>
      </c>
      <c r="E63" s="12">
        <v>44212</v>
      </c>
      <c r="F63" s="11" t="s">
        <v>24</v>
      </c>
      <c r="G63" s="10">
        <v>90700</v>
      </c>
      <c r="H63" t="s">
        <v>206</v>
      </c>
      <c r="I63" s="11">
        <f ca="1">(TODAY()-E:E)/360</f>
        <v>4.86666666666667</v>
      </c>
    </row>
    <row r="64" hidden="1" spans="1:9">
      <c r="A64" s="11" t="s">
        <v>84</v>
      </c>
      <c r="B64" s="11" t="s">
        <v>214</v>
      </c>
      <c r="C64">
        <v>26</v>
      </c>
      <c r="D64" t="s">
        <v>11</v>
      </c>
      <c r="E64" s="12">
        <v>44271</v>
      </c>
      <c r="F64" s="11" t="s">
        <v>24</v>
      </c>
      <c r="G64" s="10">
        <v>90700</v>
      </c>
      <c r="H64" t="s">
        <v>207</v>
      </c>
      <c r="I64" s="11">
        <f ca="1">(TODAY()-E:E)/360</f>
        <v>4.70277777777778</v>
      </c>
    </row>
    <row r="65" hidden="1" spans="1:9">
      <c r="A65" s="11" t="s">
        <v>133</v>
      </c>
      <c r="B65" s="11" t="s">
        <v>9</v>
      </c>
      <c r="C65">
        <v>37</v>
      </c>
      <c r="D65" t="s">
        <v>19</v>
      </c>
      <c r="E65" s="12">
        <v>44277</v>
      </c>
      <c r="F65" s="11" t="s">
        <v>24</v>
      </c>
      <c r="G65" s="10">
        <v>88050</v>
      </c>
      <c r="H65" t="s">
        <v>206</v>
      </c>
      <c r="I65" s="11">
        <f ca="1">(TODAY()-E:E)/360</f>
        <v>4.68611111111111</v>
      </c>
    </row>
    <row r="66" hidden="1" spans="1:9">
      <c r="A66" s="11" t="s">
        <v>91</v>
      </c>
      <c r="B66" s="11" t="s">
        <v>9</v>
      </c>
      <c r="C66">
        <v>37</v>
      </c>
      <c r="D66" t="s">
        <v>19</v>
      </c>
      <c r="E66" s="12">
        <v>44338</v>
      </c>
      <c r="F66" s="11" t="s">
        <v>24</v>
      </c>
      <c r="G66" s="10">
        <v>88050</v>
      </c>
      <c r="H66" t="s">
        <v>207</v>
      </c>
      <c r="I66" s="11">
        <f ca="1">(TODAY()-E:E)/360</f>
        <v>4.51666666666667</v>
      </c>
    </row>
    <row r="67" hidden="1" spans="1:9">
      <c r="A67" s="11" t="s">
        <v>171</v>
      </c>
      <c r="B67" s="11" t="s">
        <v>16</v>
      </c>
      <c r="C67">
        <v>40</v>
      </c>
      <c r="D67" t="s">
        <v>14</v>
      </c>
      <c r="E67" s="12">
        <v>44276</v>
      </c>
      <c r="F67" s="11" t="s">
        <v>24</v>
      </c>
      <c r="G67" s="10">
        <v>87620</v>
      </c>
      <c r="H67" t="s">
        <v>206</v>
      </c>
      <c r="I67" s="11">
        <f ca="1">(TODAY()-E:E)/360</f>
        <v>4.68888888888889</v>
      </c>
    </row>
    <row r="68" hidden="1" spans="1:9">
      <c r="A68" s="11" t="s">
        <v>45</v>
      </c>
      <c r="B68" s="11" t="s">
        <v>16</v>
      </c>
      <c r="C68">
        <v>40</v>
      </c>
      <c r="D68" t="s">
        <v>14</v>
      </c>
      <c r="E68" s="12">
        <v>44337</v>
      </c>
      <c r="F68" s="11" t="s">
        <v>24</v>
      </c>
      <c r="G68" s="10">
        <v>87620</v>
      </c>
      <c r="H68" t="s">
        <v>207</v>
      </c>
      <c r="I68" s="11">
        <f ca="1">(TODAY()-E:E)/360</f>
        <v>4.51944444444444</v>
      </c>
    </row>
    <row r="69" hidden="1" spans="1:9">
      <c r="A69" s="11" t="s">
        <v>180</v>
      </c>
      <c r="B69" s="11" t="s">
        <v>16</v>
      </c>
      <c r="C69">
        <v>33</v>
      </c>
      <c r="D69" t="s">
        <v>14</v>
      </c>
      <c r="E69" s="12">
        <v>44747</v>
      </c>
      <c r="F69" s="11" t="s">
        <v>18</v>
      </c>
      <c r="G69" s="10">
        <v>86570</v>
      </c>
      <c r="H69" t="s">
        <v>206</v>
      </c>
      <c r="I69" s="11">
        <f ca="1">(TODAY()-E:E)/360</f>
        <v>3.38055555555556</v>
      </c>
    </row>
    <row r="70" hidden="1" spans="1:9">
      <c r="A70" s="11" t="s">
        <v>61</v>
      </c>
      <c r="B70" s="11" t="s">
        <v>16</v>
      </c>
      <c r="C70">
        <v>33</v>
      </c>
      <c r="D70" t="s">
        <v>14</v>
      </c>
      <c r="E70" s="12">
        <v>44809</v>
      </c>
      <c r="F70" s="11" t="s">
        <v>18</v>
      </c>
      <c r="G70" s="10">
        <v>86570</v>
      </c>
      <c r="H70" t="s">
        <v>207</v>
      </c>
      <c r="I70" s="11">
        <f ca="1">(TODAY()-E:E)/360</f>
        <v>3.20833333333333</v>
      </c>
    </row>
    <row r="71" hidden="1" spans="1:9">
      <c r="A71" s="11" t="s">
        <v>154</v>
      </c>
      <c r="B71" s="11" t="s">
        <v>16</v>
      </c>
      <c r="C71">
        <v>34</v>
      </c>
      <c r="D71" t="s">
        <v>14</v>
      </c>
      <c r="E71" s="12">
        <v>44397</v>
      </c>
      <c r="F71" s="11" t="s">
        <v>18</v>
      </c>
      <c r="G71" s="10">
        <v>85000</v>
      </c>
      <c r="H71" t="s">
        <v>206</v>
      </c>
      <c r="I71" s="11">
        <f ca="1">(TODAY()-E:E)/360</f>
        <v>4.35277777777778</v>
      </c>
    </row>
    <row r="72" hidden="1" spans="1:9">
      <c r="A72" s="11" t="s">
        <v>101</v>
      </c>
      <c r="B72" s="11" t="s">
        <v>16</v>
      </c>
      <c r="C72">
        <v>34</v>
      </c>
      <c r="D72" t="s">
        <v>14</v>
      </c>
      <c r="E72" s="12">
        <v>44459</v>
      </c>
      <c r="F72" s="11" t="s">
        <v>18</v>
      </c>
      <c r="G72" s="10">
        <v>85000</v>
      </c>
      <c r="H72" t="s">
        <v>207</v>
      </c>
      <c r="I72" s="11">
        <f ca="1">(TODAY()-E:E)/360</f>
        <v>4.18055555555556</v>
      </c>
    </row>
    <row r="73" hidden="1" spans="1:9">
      <c r="A73" s="11" t="s">
        <v>170</v>
      </c>
      <c r="B73" s="11" t="s">
        <v>16</v>
      </c>
      <c r="C73">
        <v>27</v>
      </c>
      <c r="D73" t="s">
        <v>14</v>
      </c>
      <c r="E73" s="12">
        <v>44625</v>
      </c>
      <c r="F73" s="11" t="s">
        <v>24</v>
      </c>
      <c r="G73" s="10">
        <v>83750</v>
      </c>
      <c r="H73" t="s">
        <v>206</v>
      </c>
      <c r="I73" s="11">
        <f ca="1">(TODAY()-E:E)/360</f>
        <v>3.71944444444444</v>
      </c>
    </row>
    <row r="74" hidden="1" spans="1:9">
      <c r="A74" s="11" t="s">
        <v>62</v>
      </c>
      <c r="B74" s="11" t="s">
        <v>16</v>
      </c>
      <c r="C74">
        <v>27</v>
      </c>
      <c r="D74" t="s">
        <v>14</v>
      </c>
      <c r="E74" s="12">
        <v>44686</v>
      </c>
      <c r="F74" s="11" t="s">
        <v>24</v>
      </c>
      <c r="G74" s="10">
        <v>83750</v>
      </c>
      <c r="H74" t="s">
        <v>207</v>
      </c>
      <c r="I74" s="11">
        <f ca="1">(TODAY()-E:E)/360</f>
        <v>3.55</v>
      </c>
    </row>
    <row r="75" hidden="1" spans="1:9">
      <c r="A75" s="11" t="s">
        <v>145</v>
      </c>
      <c r="B75" s="11" t="s">
        <v>16</v>
      </c>
      <c r="C75">
        <v>25</v>
      </c>
      <c r="D75" t="s">
        <v>11</v>
      </c>
      <c r="E75" s="12">
        <v>44633</v>
      </c>
      <c r="F75" s="11" t="s">
        <v>24</v>
      </c>
      <c r="G75" s="10">
        <v>80700</v>
      </c>
      <c r="H75" t="s">
        <v>206</v>
      </c>
      <c r="I75" s="11">
        <f ca="1">(TODAY()-E:E)/360</f>
        <v>3.69722222222222</v>
      </c>
    </row>
    <row r="76" hidden="1" spans="1:9">
      <c r="A76" s="11" t="s">
        <v>67</v>
      </c>
      <c r="B76" s="11" t="s">
        <v>16</v>
      </c>
      <c r="C76">
        <v>25</v>
      </c>
      <c r="D76" t="s">
        <v>11</v>
      </c>
      <c r="E76" s="12">
        <v>44694</v>
      </c>
      <c r="F76" s="11" t="s">
        <v>24</v>
      </c>
      <c r="G76" s="10">
        <v>80700</v>
      </c>
      <c r="H76" t="s">
        <v>207</v>
      </c>
      <c r="I76" s="11">
        <f ca="1">(TODAY()-E:E)/360</f>
        <v>3.52777777777778</v>
      </c>
    </row>
    <row r="77" hidden="1" spans="1:9">
      <c r="A77" s="11" t="s">
        <v>130</v>
      </c>
      <c r="B77" s="11" t="s">
        <v>9</v>
      </c>
      <c r="C77">
        <v>20</v>
      </c>
      <c r="D77" t="s">
        <v>14</v>
      </c>
      <c r="E77" s="12">
        <v>44683</v>
      </c>
      <c r="F77" s="11" t="s">
        <v>13</v>
      </c>
      <c r="G77" s="10">
        <v>79570</v>
      </c>
      <c r="H77" t="s">
        <v>206</v>
      </c>
      <c r="I77" s="11">
        <f ca="1">(TODAY()-E:E)/360</f>
        <v>3.55833333333333</v>
      </c>
    </row>
    <row r="78" hidden="1" spans="1:9">
      <c r="A78" s="11" t="s">
        <v>65</v>
      </c>
      <c r="B78" s="11" t="s">
        <v>9</v>
      </c>
      <c r="C78">
        <v>20</v>
      </c>
      <c r="D78" t="s">
        <v>14</v>
      </c>
      <c r="E78" s="12">
        <v>44744</v>
      </c>
      <c r="F78" s="11" t="s">
        <v>13</v>
      </c>
      <c r="G78" s="10">
        <v>79570</v>
      </c>
      <c r="H78" t="s">
        <v>207</v>
      </c>
      <c r="I78" s="11">
        <f ca="1">(TODAY()-E:E)/360</f>
        <v>3.38888888888889</v>
      </c>
    </row>
    <row r="79" spans="1:9">
      <c r="A79" s="11" t="s">
        <v>198</v>
      </c>
      <c r="B79" s="11" t="s">
        <v>16</v>
      </c>
      <c r="C79">
        <v>36</v>
      </c>
      <c r="D79" t="s">
        <v>14</v>
      </c>
      <c r="E79" s="12">
        <v>44433</v>
      </c>
      <c r="F79" s="11" t="s">
        <v>10</v>
      </c>
      <c r="G79" s="10">
        <v>78540</v>
      </c>
      <c r="H79" t="s">
        <v>206</v>
      </c>
      <c r="I79" s="11">
        <f ca="1">(TODAY()-E:E)/360</f>
        <v>4.25277777777778</v>
      </c>
    </row>
    <row r="80" spans="1:9">
      <c r="A80" s="11" t="s">
        <v>52</v>
      </c>
      <c r="B80" s="11" t="s">
        <v>16</v>
      </c>
      <c r="C80">
        <v>36</v>
      </c>
      <c r="D80" t="s">
        <v>14</v>
      </c>
      <c r="E80" s="12">
        <v>44494</v>
      </c>
      <c r="F80" s="11" t="s">
        <v>10</v>
      </c>
      <c r="G80" s="10">
        <v>78540</v>
      </c>
      <c r="H80" t="s">
        <v>207</v>
      </c>
      <c r="I80" s="11">
        <f ca="1">(TODAY()-E:E)/360</f>
        <v>4.08333333333333</v>
      </c>
    </row>
    <row r="81" hidden="1" spans="1:9">
      <c r="A81" s="11" t="s">
        <v>188</v>
      </c>
      <c r="B81" s="11" t="s">
        <v>16</v>
      </c>
      <c r="C81">
        <v>36</v>
      </c>
      <c r="D81" t="s">
        <v>14</v>
      </c>
      <c r="E81" s="12">
        <v>44468</v>
      </c>
      <c r="F81" s="11" t="s">
        <v>13</v>
      </c>
      <c r="G81" s="10">
        <v>78390</v>
      </c>
      <c r="H81" t="s">
        <v>206</v>
      </c>
      <c r="I81" s="11">
        <f ca="1">(TODAY()-E:E)/360</f>
        <v>4.15555555555556</v>
      </c>
    </row>
    <row r="82" hidden="1" spans="1:9">
      <c r="A82" s="11" t="s">
        <v>60</v>
      </c>
      <c r="B82" s="11" t="s">
        <v>16</v>
      </c>
      <c r="C82">
        <v>36</v>
      </c>
      <c r="D82" t="s">
        <v>14</v>
      </c>
      <c r="E82" s="12">
        <v>44529</v>
      </c>
      <c r="F82" s="11" t="s">
        <v>13</v>
      </c>
      <c r="G82" s="10">
        <v>78390</v>
      </c>
      <c r="H82" t="s">
        <v>207</v>
      </c>
      <c r="I82" s="11">
        <f ca="1">(TODAY()-E:E)/360</f>
        <v>3.98611111111111</v>
      </c>
    </row>
    <row r="83" hidden="1" spans="1:9">
      <c r="A83" s="11" t="s">
        <v>131</v>
      </c>
      <c r="B83" s="11" t="s">
        <v>16</v>
      </c>
      <c r="C83">
        <v>22</v>
      </c>
      <c r="D83" t="s">
        <v>11</v>
      </c>
      <c r="E83" s="12">
        <v>44388</v>
      </c>
      <c r="F83" s="11" t="s">
        <v>13</v>
      </c>
      <c r="G83" s="10">
        <v>76900</v>
      </c>
      <c r="H83" t="s">
        <v>206</v>
      </c>
      <c r="I83" s="11">
        <f ca="1">(TODAY()-E:E)/360</f>
        <v>4.37777777777778</v>
      </c>
    </row>
    <row r="84" hidden="1" spans="1:9">
      <c r="A84" s="11" t="s">
        <v>79</v>
      </c>
      <c r="B84" s="11" t="s">
        <v>16</v>
      </c>
      <c r="C84">
        <v>22</v>
      </c>
      <c r="D84" t="s">
        <v>11</v>
      </c>
      <c r="E84" s="12">
        <v>44450</v>
      </c>
      <c r="F84" s="11" t="s">
        <v>13</v>
      </c>
      <c r="G84" s="10">
        <v>76900</v>
      </c>
      <c r="H84" t="s">
        <v>207</v>
      </c>
      <c r="I84" s="11">
        <f ca="1">(TODAY()-E:E)/360</f>
        <v>4.20555555555556</v>
      </c>
    </row>
    <row r="85" hidden="1" spans="1:9">
      <c r="A85" s="11" t="s">
        <v>162</v>
      </c>
      <c r="B85" s="11" t="s">
        <v>16</v>
      </c>
      <c r="C85">
        <v>28</v>
      </c>
      <c r="D85" t="s">
        <v>14</v>
      </c>
      <c r="E85" s="12">
        <v>44124</v>
      </c>
      <c r="F85" s="11" t="s">
        <v>18</v>
      </c>
      <c r="G85" s="10">
        <v>75970</v>
      </c>
      <c r="H85" t="s">
        <v>206</v>
      </c>
      <c r="I85" s="11">
        <f ca="1">(TODAY()-E:E)/360</f>
        <v>5.11111111111111</v>
      </c>
    </row>
    <row r="86" hidden="1" spans="1:9">
      <c r="A86" s="11" t="s">
        <v>47</v>
      </c>
      <c r="B86" s="11" t="s">
        <v>16</v>
      </c>
      <c r="C86">
        <v>28</v>
      </c>
      <c r="D86" t="s">
        <v>14</v>
      </c>
      <c r="E86" s="12">
        <v>44185</v>
      </c>
      <c r="F86" s="11" t="s">
        <v>18</v>
      </c>
      <c r="G86" s="10">
        <v>75970</v>
      </c>
      <c r="H86" t="s">
        <v>207</v>
      </c>
      <c r="I86" s="11">
        <f ca="1">(TODAY()-E:E)/360</f>
        <v>4.94166666666667</v>
      </c>
    </row>
    <row r="87" hidden="1" spans="1:9">
      <c r="A87" s="11" t="s">
        <v>152</v>
      </c>
      <c r="B87" s="11" t="s">
        <v>9</v>
      </c>
      <c r="C87">
        <v>21</v>
      </c>
      <c r="D87" t="s">
        <v>14</v>
      </c>
      <c r="E87" s="12">
        <v>44180</v>
      </c>
      <c r="F87" s="11" t="s">
        <v>27</v>
      </c>
      <c r="G87" s="10">
        <v>75880</v>
      </c>
      <c r="H87" t="s">
        <v>206</v>
      </c>
      <c r="I87" s="11">
        <f ca="1">(TODAY()-E:E)/360</f>
        <v>4.95555555555556</v>
      </c>
    </row>
    <row r="88" hidden="1" spans="1:9">
      <c r="A88" s="11" t="s">
        <v>37</v>
      </c>
      <c r="B88" s="11" t="s">
        <v>9</v>
      </c>
      <c r="C88">
        <v>21</v>
      </c>
      <c r="D88" t="s">
        <v>14</v>
      </c>
      <c r="E88" s="12">
        <v>44242</v>
      </c>
      <c r="F88" s="11" t="s">
        <v>27</v>
      </c>
      <c r="G88" s="10">
        <v>75880</v>
      </c>
      <c r="H88" t="s">
        <v>207</v>
      </c>
      <c r="I88" s="11">
        <f ca="1">(TODAY()-E:E)/360</f>
        <v>4.78333333333333</v>
      </c>
    </row>
    <row r="89" hidden="1" spans="1:9">
      <c r="A89" s="11" t="s">
        <v>196</v>
      </c>
      <c r="B89" s="11" t="s">
        <v>16</v>
      </c>
      <c r="C89">
        <v>33</v>
      </c>
      <c r="D89" t="s">
        <v>50</v>
      </c>
      <c r="E89" s="12">
        <v>44313</v>
      </c>
      <c r="F89" s="11" t="s">
        <v>24</v>
      </c>
      <c r="G89" s="10">
        <v>75480</v>
      </c>
      <c r="H89" t="s">
        <v>206</v>
      </c>
      <c r="I89" s="11">
        <f ca="1">(TODAY()-E:E)/360</f>
        <v>4.58611111111111</v>
      </c>
    </row>
    <row r="90" hidden="1" spans="1:9">
      <c r="A90" s="11" t="s">
        <v>49</v>
      </c>
      <c r="B90" s="11" t="s">
        <v>16</v>
      </c>
      <c r="C90">
        <v>33</v>
      </c>
      <c r="D90" t="s">
        <v>50</v>
      </c>
      <c r="E90" s="12">
        <v>44374</v>
      </c>
      <c r="F90" s="11" t="s">
        <v>24</v>
      </c>
      <c r="G90" s="10">
        <v>75480</v>
      </c>
      <c r="H90" t="s">
        <v>207</v>
      </c>
      <c r="I90" s="11">
        <f ca="1">(TODAY()-E:E)/360</f>
        <v>4.41666666666667</v>
      </c>
    </row>
    <row r="91" hidden="1" spans="1:9">
      <c r="A91" s="11" t="s">
        <v>156</v>
      </c>
      <c r="B91" s="11" t="s">
        <v>16</v>
      </c>
      <c r="C91">
        <v>33</v>
      </c>
      <c r="D91" t="s">
        <v>14</v>
      </c>
      <c r="E91" s="12">
        <v>44253</v>
      </c>
      <c r="F91" s="11" t="s">
        <v>24</v>
      </c>
      <c r="G91" s="10">
        <v>75280</v>
      </c>
      <c r="H91" t="s">
        <v>206</v>
      </c>
      <c r="I91" s="11">
        <f ca="1">(TODAY()-E:E)/360</f>
        <v>4.75277777777778</v>
      </c>
    </row>
    <row r="92" hidden="1" spans="1:9">
      <c r="A92" s="11" t="s">
        <v>106</v>
      </c>
      <c r="B92" s="11" t="s">
        <v>16</v>
      </c>
      <c r="C92">
        <v>33</v>
      </c>
      <c r="D92" t="s">
        <v>14</v>
      </c>
      <c r="E92" s="12">
        <v>44312</v>
      </c>
      <c r="F92" s="11" t="s">
        <v>24</v>
      </c>
      <c r="G92" s="10">
        <v>75280</v>
      </c>
      <c r="H92" t="s">
        <v>207</v>
      </c>
      <c r="I92" s="11">
        <f ca="1">(TODAY()-E:E)/360</f>
        <v>4.58888888888889</v>
      </c>
    </row>
    <row r="93" hidden="1" spans="1:9">
      <c r="A93" s="11" t="s">
        <v>135</v>
      </c>
      <c r="B93" s="11" t="s">
        <v>16</v>
      </c>
      <c r="C93">
        <v>42</v>
      </c>
      <c r="D93" t="s">
        <v>44</v>
      </c>
      <c r="E93" s="12">
        <v>44718</v>
      </c>
      <c r="F93" s="11" t="s">
        <v>13</v>
      </c>
      <c r="G93" s="10">
        <v>75000</v>
      </c>
      <c r="H93" t="s">
        <v>206</v>
      </c>
      <c r="I93" s="11">
        <f ca="1">(TODAY()-E:E)/360</f>
        <v>3.46111111111111</v>
      </c>
    </row>
    <row r="94" hidden="1" spans="1:9">
      <c r="A94" s="11" t="s">
        <v>43</v>
      </c>
      <c r="B94" s="11" t="s">
        <v>16</v>
      </c>
      <c r="C94">
        <v>42</v>
      </c>
      <c r="D94" t="s">
        <v>44</v>
      </c>
      <c r="E94" s="12">
        <v>44779</v>
      </c>
      <c r="F94" s="11" t="s">
        <v>13</v>
      </c>
      <c r="G94" s="10">
        <v>75000</v>
      </c>
      <c r="H94" t="s">
        <v>207</v>
      </c>
      <c r="I94" s="11">
        <f ca="1">(TODAY()-E:E)/360</f>
        <v>3.29166666666667</v>
      </c>
    </row>
    <row r="95" spans="1:9">
      <c r="A95" s="11" t="s">
        <v>120</v>
      </c>
      <c r="B95" s="11" t="s">
        <v>9</v>
      </c>
      <c r="C95">
        <v>33</v>
      </c>
      <c r="D95" t="s">
        <v>14</v>
      </c>
      <c r="E95" s="12">
        <v>44324</v>
      </c>
      <c r="F95" s="11" t="s">
        <v>10</v>
      </c>
      <c r="G95" s="10">
        <v>74550</v>
      </c>
      <c r="H95" t="s">
        <v>206</v>
      </c>
      <c r="I95" s="11">
        <f ca="1">(TODAY()-E:E)/360</f>
        <v>4.55555555555556</v>
      </c>
    </row>
    <row r="96" spans="1:9">
      <c r="A96" s="11" t="s">
        <v>107</v>
      </c>
      <c r="B96" s="11" t="s">
        <v>9</v>
      </c>
      <c r="C96">
        <v>33</v>
      </c>
      <c r="D96" t="s">
        <v>14</v>
      </c>
      <c r="E96" s="12">
        <v>44385</v>
      </c>
      <c r="F96" s="11" t="s">
        <v>10</v>
      </c>
      <c r="G96" s="10">
        <v>74550</v>
      </c>
      <c r="H96" t="s">
        <v>207</v>
      </c>
      <c r="I96" s="11">
        <f ca="1">(TODAY()-E:E)/360</f>
        <v>4.38611111111111</v>
      </c>
    </row>
    <row r="97" hidden="1" spans="1:9">
      <c r="A97" s="11" t="s">
        <v>178</v>
      </c>
      <c r="B97" s="11" t="s">
        <v>9</v>
      </c>
      <c r="C97">
        <v>36</v>
      </c>
      <c r="D97" t="s">
        <v>14</v>
      </c>
      <c r="E97" s="12">
        <v>44272</v>
      </c>
      <c r="F97" s="11" t="s">
        <v>18</v>
      </c>
      <c r="G97" s="10">
        <v>71380</v>
      </c>
      <c r="H97" t="s">
        <v>206</v>
      </c>
      <c r="I97" s="11">
        <f ca="1">(TODAY()-E:E)/360</f>
        <v>4.7</v>
      </c>
    </row>
    <row r="98" hidden="1" spans="1:9">
      <c r="A98" s="11" t="s">
        <v>74</v>
      </c>
      <c r="B98" s="11" t="s">
        <v>9</v>
      </c>
      <c r="C98">
        <v>36</v>
      </c>
      <c r="D98" t="s">
        <v>14</v>
      </c>
      <c r="E98" s="12">
        <v>44333</v>
      </c>
      <c r="F98" s="11" t="s">
        <v>18</v>
      </c>
      <c r="G98" s="10">
        <v>71380</v>
      </c>
      <c r="H98" t="s">
        <v>207</v>
      </c>
      <c r="I98" s="11">
        <f ca="1">(TODAY()-E:E)/360</f>
        <v>4.53055555555556</v>
      </c>
    </row>
    <row r="99" hidden="1" spans="1:9">
      <c r="A99" s="11" t="s">
        <v>200</v>
      </c>
      <c r="B99" s="11" t="s">
        <v>9</v>
      </c>
      <c r="C99">
        <v>46</v>
      </c>
      <c r="D99" t="s">
        <v>14</v>
      </c>
      <c r="E99" s="12">
        <v>44697</v>
      </c>
      <c r="F99" s="11" t="s">
        <v>13</v>
      </c>
      <c r="G99" s="10">
        <v>70610</v>
      </c>
      <c r="H99" t="s">
        <v>206</v>
      </c>
      <c r="I99" s="11">
        <f ca="1">(TODAY()-E:E)/360</f>
        <v>3.51944444444444</v>
      </c>
    </row>
    <row r="100" hidden="1" spans="1:9">
      <c r="A100" s="11" t="s">
        <v>12</v>
      </c>
      <c r="B100" s="11" t="s">
        <v>9</v>
      </c>
      <c r="C100">
        <v>46</v>
      </c>
      <c r="D100" t="s">
        <v>14</v>
      </c>
      <c r="E100" s="12">
        <v>44758</v>
      </c>
      <c r="F100" s="11" t="s">
        <v>13</v>
      </c>
      <c r="G100" s="10">
        <v>70610</v>
      </c>
      <c r="H100" t="s">
        <v>207</v>
      </c>
      <c r="I100" s="11">
        <f ca="1">(TODAY()-E:E)/360</f>
        <v>3.35</v>
      </c>
    </row>
    <row r="101" hidden="1" spans="1:9">
      <c r="A101" s="11" t="s">
        <v>161</v>
      </c>
      <c r="B101" s="11" t="s">
        <v>9</v>
      </c>
      <c r="C101">
        <v>42</v>
      </c>
      <c r="D101" t="s">
        <v>19</v>
      </c>
      <c r="E101" s="12">
        <v>44670</v>
      </c>
      <c r="F101" s="11" t="s">
        <v>18</v>
      </c>
      <c r="G101" s="10">
        <v>70270</v>
      </c>
      <c r="H101" t="s">
        <v>206</v>
      </c>
      <c r="I101" s="11">
        <f ca="1">(TODAY()-E:E)/360</f>
        <v>3.59444444444444</v>
      </c>
    </row>
    <row r="102" hidden="1" spans="1:9">
      <c r="A102" s="11" t="s">
        <v>109</v>
      </c>
      <c r="B102" s="11" t="s">
        <v>9</v>
      </c>
      <c r="C102">
        <v>42</v>
      </c>
      <c r="D102" t="s">
        <v>19</v>
      </c>
      <c r="E102" s="12">
        <v>44731</v>
      </c>
      <c r="F102" s="11" t="s">
        <v>18</v>
      </c>
      <c r="G102" s="10">
        <v>70270</v>
      </c>
      <c r="H102" t="s">
        <v>207</v>
      </c>
      <c r="I102" s="11">
        <f ca="1">(TODAY()-E:E)/360</f>
        <v>3.425</v>
      </c>
    </row>
    <row r="103" hidden="1" spans="1:9">
      <c r="A103" s="11" t="s">
        <v>129</v>
      </c>
      <c r="B103" s="11" t="s">
        <v>9</v>
      </c>
      <c r="C103">
        <v>30</v>
      </c>
      <c r="D103" t="s">
        <v>14</v>
      </c>
      <c r="E103" s="12">
        <v>44789</v>
      </c>
      <c r="F103" s="11" t="s">
        <v>24</v>
      </c>
      <c r="G103" s="10">
        <v>69710</v>
      </c>
      <c r="H103" t="s">
        <v>206</v>
      </c>
      <c r="I103" s="11">
        <f ca="1">(TODAY()-E:E)/360</f>
        <v>3.26388888888889</v>
      </c>
    </row>
    <row r="104" hidden="1" spans="1:9">
      <c r="A104" s="11" t="s">
        <v>73</v>
      </c>
      <c r="B104" s="11" t="s">
        <v>9</v>
      </c>
      <c r="C104">
        <v>30</v>
      </c>
      <c r="D104" t="s">
        <v>14</v>
      </c>
      <c r="E104" s="12">
        <v>44850</v>
      </c>
      <c r="F104" s="11" t="s">
        <v>24</v>
      </c>
      <c r="G104" s="10">
        <v>69710</v>
      </c>
      <c r="H104" t="s">
        <v>207</v>
      </c>
      <c r="I104" s="11">
        <f ca="1">(TODAY()-E:E)/360</f>
        <v>3.09444444444444</v>
      </c>
    </row>
    <row r="105" hidden="1" spans="1:9">
      <c r="A105" s="11" t="s">
        <v>184</v>
      </c>
      <c r="B105" s="11" t="s">
        <v>9</v>
      </c>
      <c r="C105">
        <v>30</v>
      </c>
      <c r="D105" t="s">
        <v>14</v>
      </c>
      <c r="E105" s="12">
        <v>44214</v>
      </c>
      <c r="F105" s="11" t="s">
        <v>24</v>
      </c>
      <c r="G105" s="10">
        <v>69120</v>
      </c>
      <c r="H105" t="s">
        <v>206</v>
      </c>
      <c r="I105" s="11">
        <f ca="1">(TODAY()-E:E)/360</f>
        <v>4.86111111111111</v>
      </c>
    </row>
    <row r="106" hidden="1" spans="1:9">
      <c r="A106" s="11" t="s">
        <v>77</v>
      </c>
      <c r="B106" s="11" t="s">
        <v>9</v>
      </c>
      <c r="C106">
        <v>30</v>
      </c>
      <c r="D106" t="s">
        <v>14</v>
      </c>
      <c r="E106" s="12">
        <v>44273</v>
      </c>
      <c r="F106" s="11" t="s">
        <v>24</v>
      </c>
      <c r="G106" s="10">
        <v>69120</v>
      </c>
      <c r="H106" t="s">
        <v>207</v>
      </c>
      <c r="I106" s="11">
        <f ca="1">(TODAY()-E:E)/360</f>
        <v>4.69722222222222</v>
      </c>
    </row>
    <row r="107" hidden="1" spans="1:9">
      <c r="A107" s="11" t="s">
        <v>182</v>
      </c>
      <c r="B107" s="11" t="s">
        <v>9</v>
      </c>
      <c r="C107">
        <v>37</v>
      </c>
      <c r="D107" t="s">
        <v>14</v>
      </c>
      <c r="E107" s="12">
        <v>44640</v>
      </c>
      <c r="F107" s="11" t="s">
        <v>24</v>
      </c>
      <c r="G107" s="10">
        <v>69070</v>
      </c>
      <c r="H107" t="s">
        <v>206</v>
      </c>
      <c r="I107" s="11">
        <f ca="1">(TODAY()-E:E)/360</f>
        <v>3.67777777777778</v>
      </c>
    </row>
    <row r="108" hidden="1" spans="1:9">
      <c r="A108" s="11" t="s">
        <v>30</v>
      </c>
      <c r="B108" s="11" t="s">
        <v>9</v>
      </c>
      <c r="C108">
        <v>37</v>
      </c>
      <c r="D108" t="s">
        <v>14</v>
      </c>
      <c r="E108" s="12">
        <v>44701</v>
      </c>
      <c r="F108" s="11" t="s">
        <v>24</v>
      </c>
      <c r="G108" s="10">
        <v>69070</v>
      </c>
      <c r="H108" t="s">
        <v>207</v>
      </c>
      <c r="I108" s="11">
        <f ca="1">(TODAY()-E:E)/360</f>
        <v>3.50833333333333</v>
      </c>
    </row>
    <row r="109" spans="1:9">
      <c r="A109" s="11" t="s">
        <v>172</v>
      </c>
      <c r="B109" s="11" t="s">
        <v>16</v>
      </c>
      <c r="C109">
        <v>20</v>
      </c>
      <c r="D109" t="s">
        <v>19</v>
      </c>
      <c r="E109" s="12">
        <v>44476</v>
      </c>
      <c r="F109" s="11" t="s">
        <v>10</v>
      </c>
      <c r="G109" s="10">
        <v>68900</v>
      </c>
      <c r="H109" t="s">
        <v>206</v>
      </c>
      <c r="I109" s="11">
        <f ca="1">(TODAY()-E:E)/360</f>
        <v>4.13333333333333</v>
      </c>
    </row>
    <row r="110" spans="1:9">
      <c r="A110" s="11" t="s">
        <v>66</v>
      </c>
      <c r="B110" s="11" t="s">
        <v>16</v>
      </c>
      <c r="C110">
        <v>20</v>
      </c>
      <c r="D110" t="s">
        <v>19</v>
      </c>
      <c r="E110" s="12">
        <v>44537</v>
      </c>
      <c r="F110" s="11" t="s">
        <v>10</v>
      </c>
      <c r="G110" s="10">
        <v>68900</v>
      </c>
      <c r="H110" t="s">
        <v>207</v>
      </c>
      <c r="I110" s="11">
        <f ca="1">(TODAY()-E:E)/360</f>
        <v>3.96388888888889</v>
      </c>
    </row>
    <row r="111" hidden="1" spans="1:9">
      <c r="A111" s="11" t="s">
        <v>191</v>
      </c>
      <c r="B111" s="11" t="s">
        <v>9</v>
      </c>
      <c r="C111">
        <v>30</v>
      </c>
      <c r="D111" t="s">
        <v>14</v>
      </c>
      <c r="E111" s="12">
        <v>44640</v>
      </c>
      <c r="F111" s="11" t="s">
        <v>13</v>
      </c>
      <c r="G111" s="10">
        <v>67950</v>
      </c>
      <c r="H111" t="s">
        <v>206</v>
      </c>
      <c r="I111" s="11">
        <f ca="1">(TODAY()-E:E)/360</f>
        <v>3.67777777777778</v>
      </c>
    </row>
    <row r="112" hidden="1" spans="1:9">
      <c r="A112" s="11" t="s">
        <v>108</v>
      </c>
      <c r="B112" s="11" t="s">
        <v>9</v>
      </c>
      <c r="C112">
        <v>30</v>
      </c>
      <c r="D112" t="s">
        <v>14</v>
      </c>
      <c r="E112" s="12">
        <v>44701</v>
      </c>
      <c r="F112" s="11" t="s">
        <v>13</v>
      </c>
      <c r="G112" s="10">
        <v>67950</v>
      </c>
      <c r="H112" t="s">
        <v>207</v>
      </c>
      <c r="I112" s="11">
        <f ca="1">(TODAY()-E:E)/360</f>
        <v>3.50833333333333</v>
      </c>
    </row>
    <row r="113" hidden="1" spans="1:9">
      <c r="A113" s="11" t="s">
        <v>183</v>
      </c>
      <c r="B113" s="11" t="s">
        <v>16</v>
      </c>
      <c r="C113">
        <v>30</v>
      </c>
      <c r="D113" t="s">
        <v>19</v>
      </c>
      <c r="E113" s="12">
        <v>44328</v>
      </c>
      <c r="F113" s="11" t="s">
        <v>18</v>
      </c>
      <c r="G113" s="10">
        <v>67910</v>
      </c>
      <c r="H113" t="s">
        <v>206</v>
      </c>
      <c r="I113" s="11">
        <f ca="1">(TODAY()-E:E)/360</f>
        <v>4.54444444444444</v>
      </c>
    </row>
    <row r="114" hidden="1" spans="1:9">
      <c r="A114" s="11" t="s">
        <v>39</v>
      </c>
      <c r="B114" s="11" t="s">
        <v>16</v>
      </c>
      <c r="C114">
        <v>30</v>
      </c>
      <c r="D114" t="s">
        <v>19</v>
      </c>
      <c r="E114" s="12">
        <v>44389</v>
      </c>
      <c r="F114" s="11" t="s">
        <v>18</v>
      </c>
      <c r="G114" s="10">
        <v>67910</v>
      </c>
      <c r="H114" t="s">
        <v>207</v>
      </c>
      <c r="I114" s="11">
        <f ca="1">(TODAY()-E:E)/360</f>
        <v>4.375</v>
      </c>
    </row>
    <row r="115" hidden="1" spans="1:9">
      <c r="A115" s="11" t="s">
        <v>143</v>
      </c>
      <c r="B115" s="11" t="s">
        <v>16</v>
      </c>
      <c r="C115">
        <v>21</v>
      </c>
      <c r="D115" t="s">
        <v>14</v>
      </c>
      <c r="E115" s="12">
        <v>44256</v>
      </c>
      <c r="F115" s="11" t="s">
        <v>18</v>
      </c>
      <c r="G115" s="10">
        <v>65920</v>
      </c>
      <c r="H115" t="s">
        <v>206</v>
      </c>
      <c r="I115" s="11">
        <f ca="1">(TODAY()-E:E)/360</f>
        <v>4.74444444444444</v>
      </c>
    </row>
    <row r="116" hidden="1" spans="1:9">
      <c r="A116" s="11" t="s">
        <v>87</v>
      </c>
      <c r="B116" s="11" t="s">
        <v>16</v>
      </c>
      <c r="C116">
        <v>21</v>
      </c>
      <c r="D116" t="s">
        <v>14</v>
      </c>
      <c r="E116" s="12">
        <v>44317</v>
      </c>
      <c r="F116" s="11" t="s">
        <v>18</v>
      </c>
      <c r="G116" s="10">
        <v>65920</v>
      </c>
      <c r="H116" t="s">
        <v>207</v>
      </c>
      <c r="I116" s="11">
        <f ca="1">(TODAY()-E:E)/360</f>
        <v>4.575</v>
      </c>
    </row>
    <row r="117" spans="1:9">
      <c r="A117" s="11" t="s">
        <v>195</v>
      </c>
      <c r="B117" s="11" t="s">
        <v>9</v>
      </c>
      <c r="C117">
        <v>25</v>
      </c>
      <c r="D117" t="s">
        <v>14</v>
      </c>
      <c r="E117" s="12">
        <v>44322</v>
      </c>
      <c r="F117" s="11" t="s">
        <v>10</v>
      </c>
      <c r="G117" s="10">
        <v>65700</v>
      </c>
      <c r="H117" t="s">
        <v>206</v>
      </c>
      <c r="I117" s="11">
        <f ca="1">(TODAY()-E:E)/360</f>
        <v>4.56111111111111</v>
      </c>
    </row>
    <row r="118" spans="1:9">
      <c r="A118" s="11" t="s">
        <v>29</v>
      </c>
      <c r="B118" s="11" t="s">
        <v>9</v>
      </c>
      <c r="C118">
        <v>25</v>
      </c>
      <c r="D118" t="s">
        <v>14</v>
      </c>
      <c r="E118" s="12">
        <v>44383</v>
      </c>
      <c r="F118" s="11" t="s">
        <v>10</v>
      </c>
      <c r="G118" s="10">
        <v>65700</v>
      </c>
      <c r="H118" t="s">
        <v>207</v>
      </c>
      <c r="I118" s="11">
        <f ca="1">(TODAY()-E:E)/360</f>
        <v>4.39166666666667</v>
      </c>
    </row>
    <row r="119" hidden="1" spans="1:9">
      <c r="A119" s="11" t="s">
        <v>166</v>
      </c>
      <c r="B119" s="11" t="s">
        <v>16</v>
      </c>
      <c r="C119">
        <v>33</v>
      </c>
      <c r="D119" t="s">
        <v>14</v>
      </c>
      <c r="E119" s="12">
        <v>44006</v>
      </c>
      <c r="F119" s="11" t="s">
        <v>18</v>
      </c>
      <c r="G119" s="10">
        <v>65360</v>
      </c>
      <c r="H119" t="s">
        <v>206</v>
      </c>
      <c r="I119" s="11">
        <f ca="1">(TODAY()-E:E)/360</f>
        <v>5.43888888888889</v>
      </c>
    </row>
    <row r="120" hidden="1" spans="1:9">
      <c r="A120" s="11" t="s">
        <v>104</v>
      </c>
      <c r="B120" s="11" t="s">
        <v>16</v>
      </c>
      <c r="C120">
        <v>33</v>
      </c>
      <c r="D120" t="s">
        <v>14</v>
      </c>
      <c r="E120" s="12">
        <v>44067</v>
      </c>
      <c r="F120" s="11" t="s">
        <v>18</v>
      </c>
      <c r="G120" s="10">
        <v>65360</v>
      </c>
      <c r="H120" t="s">
        <v>207</v>
      </c>
      <c r="I120" s="11">
        <f ca="1">(TODAY()-E:E)/360</f>
        <v>5.26944444444444</v>
      </c>
    </row>
    <row r="121" hidden="1" spans="1:9">
      <c r="A121" s="11" t="s">
        <v>167</v>
      </c>
      <c r="B121" s="11" t="s">
        <v>214</v>
      </c>
      <c r="C121">
        <v>30</v>
      </c>
      <c r="D121" t="s">
        <v>14</v>
      </c>
      <c r="E121" s="12">
        <v>44535</v>
      </c>
      <c r="F121" s="11" t="s">
        <v>18</v>
      </c>
      <c r="G121" s="10">
        <v>64000</v>
      </c>
      <c r="H121" t="s">
        <v>206</v>
      </c>
      <c r="I121" s="11">
        <f ca="1">(TODAY()-E:E)/360</f>
        <v>3.96944444444444</v>
      </c>
    </row>
    <row r="122" hidden="1" spans="1:9">
      <c r="A122" s="11" t="s">
        <v>42</v>
      </c>
      <c r="B122" s="11" t="s">
        <v>214</v>
      </c>
      <c r="C122">
        <v>30</v>
      </c>
      <c r="D122" t="s">
        <v>14</v>
      </c>
      <c r="E122" s="12">
        <v>44597</v>
      </c>
      <c r="F122" s="11" t="s">
        <v>18</v>
      </c>
      <c r="G122" s="10">
        <v>64000</v>
      </c>
      <c r="H122" t="s">
        <v>207</v>
      </c>
      <c r="I122" s="11">
        <f ca="1">(TODAY()-E:E)/360</f>
        <v>3.79722222222222</v>
      </c>
    </row>
    <row r="123" hidden="1" spans="1:9">
      <c r="A123" s="11" t="s">
        <v>193</v>
      </c>
      <c r="B123" s="11" t="s">
        <v>16</v>
      </c>
      <c r="C123">
        <v>24</v>
      </c>
      <c r="D123" t="s">
        <v>14</v>
      </c>
      <c r="E123" s="12">
        <v>44087</v>
      </c>
      <c r="F123" s="11" t="s">
        <v>24</v>
      </c>
      <c r="G123" s="10">
        <v>62780</v>
      </c>
      <c r="H123" t="s">
        <v>206</v>
      </c>
      <c r="I123" s="11">
        <f ca="1">(TODAY()-E:E)/360</f>
        <v>5.21388888888889</v>
      </c>
    </row>
    <row r="124" hidden="1" spans="1:9">
      <c r="A124" s="11" t="s">
        <v>23</v>
      </c>
      <c r="B124" s="11" t="s">
        <v>16</v>
      </c>
      <c r="C124">
        <v>24</v>
      </c>
      <c r="D124" t="s">
        <v>14</v>
      </c>
      <c r="E124" s="12">
        <v>44148</v>
      </c>
      <c r="F124" s="11" t="s">
        <v>24</v>
      </c>
      <c r="G124" s="10">
        <v>62780</v>
      </c>
      <c r="H124" t="s">
        <v>207</v>
      </c>
      <c r="I124" s="11">
        <f ca="1">(TODAY()-E:E)/360</f>
        <v>5.04444444444444</v>
      </c>
    </row>
    <row r="125" hidden="1" spans="1:9">
      <c r="A125" s="11" t="s">
        <v>164</v>
      </c>
      <c r="B125" s="11" t="s">
        <v>9</v>
      </c>
      <c r="C125">
        <v>30</v>
      </c>
      <c r="D125" t="s">
        <v>14</v>
      </c>
      <c r="E125" s="12">
        <v>44607</v>
      </c>
      <c r="F125" s="11" t="s">
        <v>13</v>
      </c>
      <c r="G125" s="10">
        <v>60570</v>
      </c>
      <c r="H125" t="s">
        <v>206</v>
      </c>
      <c r="I125" s="11">
        <f ca="1">(TODAY()-E:E)/360</f>
        <v>3.76944444444444</v>
      </c>
    </row>
    <row r="126" hidden="1" spans="1:9">
      <c r="A126" s="11" t="s">
        <v>89</v>
      </c>
      <c r="B126" s="11" t="s">
        <v>9</v>
      </c>
      <c r="C126">
        <v>30</v>
      </c>
      <c r="D126" t="s">
        <v>14</v>
      </c>
      <c r="E126" s="12">
        <v>44666</v>
      </c>
      <c r="F126" s="11" t="s">
        <v>13</v>
      </c>
      <c r="G126" s="10">
        <v>60570</v>
      </c>
      <c r="H126" t="s">
        <v>207</v>
      </c>
      <c r="I126" s="11">
        <f ca="1">(TODAY()-E:E)/360</f>
        <v>3.60555555555556</v>
      </c>
    </row>
    <row r="127" hidden="1" spans="1:9">
      <c r="A127" s="11" t="s">
        <v>185</v>
      </c>
      <c r="B127" s="11" t="s">
        <v>16</v>
      </c>
      <c r="C127">
        <v>34</v>
      </c>
      <c r="D127" t="s">
        <v>14</v>
      </c>
      <c r="E127" s="12">
        <v>44550</v>
      </c>
      <c r="F127" s="11" t="s">
        <v>18</v>
      </c>
      <c r="G127" s="10">
        <v>60130</v>
      </c>
      <c r="H127" t="s">
        <v>206</v>
      </c>
      <c r="I127" s="11">
        <f ca="1">(TODAY()-E:E)/360</f>
        <v>3.92777777777778</v>
      </c>
    </row>
    <row r="128" hidden="1" spans="1:9">
      <c r="A128" s="11" t="s">
        <v>48</v>
      </c>
      <c r="B128" s="11" t="s">
        <v>16</v>
      </c>
      <c r="C128">
        <v>34</v>
      </c>
      <c r="D128" t="s">
        <v>14</v>
      </c>
      <c r="E128" s="12">
        <v>44612</v>
      </c>
      <c r="F128" s="11" t="s">
        <v>18</v>
      </c>
      <c r="G128" s="10">
        <v>60130</v>
      </c>
      <c r="H128" t="s">
        <v>207</v>
      </c>
      <c r="I128" s="11">
        <f ca="1">(TODAY()-E:E)/360</f>
        <v>3.75555555555556</v>
      </c>
    </row>
    <row r="129" hidden="1" spans="1:9">
      <c r="A129" s="11" t="s">
        <v>201</v>
      </c>
      <c r="B129" s="11" t="s">
        <v>9</v>
      </c>
      <c r="C129">
        <v>33</v>
      </c>
      <c r="D129" t="s">
        <v>14</v>
      </c>
      <c r="E129" s="12">
        <v>44181</v>
      </c>
      <c r="F129" s="11" t="s">
        <v>18</v>
      </c>
      <c r="G129" s="10">
        <v>59430</v>
      </c>
      <c r="H129" t="s">
        <v>206</v>
      </c>
      <c r="I129" s="11">
        <f ca="1">(TODAY()-E:E)/360</f>
        <v>4.95277777777778</v>
      </c>
    </row>
    <row r="130" hidden="1" spans="1:9">
      <c r="A130" s="11" t="s">
        <v>103</v>
      </c>
      <c r="B130" s="11" t="s">
        <v>9</v>
      </c>
      <c r="C130">
        <v>33</v>
      </c>
      <c r="D130" t="s">
        <v>14</v>
      </c>
      <c r="E130" s="12">
        <v>44243</v>
      </c>
      <c r="F130" s="11" t="s">
        <v>18</v>
      </c>
      <c r="G130" s="10">
        <v>59430</v>
      </c>
      <c r="H130" t="s">
        <v>207</v>
      </c>
      <c r="I130" s="11">
        <f ca="1">(TODAY()-E:E)/360</f>
        <v>4.78055555555556</v>
      </c>
    </row>
    <row r="131" hidden="1" spans="1:9">
      <c r="A131" s="11" t="s">
        <v>199</v>
      </c>
      <c r="B131" s="11" t="s">
        <v>9</v>
      </c>
      <c r="C131">
        <v>19</v>
      </c>
      <c r="D131" t="s">
        <v>14</v>
      </c>
      <c r="E131" s="12">
        <v>44218</v>
      </c>
      <c r="F131" s="11" t="s">
        <v>13</v>
      </c>
      <c r="G131" s="10">
        <v>58960</v>
      </c>
      <c r="H131" t="s">
        <v>206</v>
      </c>
      <c r="I131" s="11">
        <f ca="1">(TODAY()-E:E)/360</f>
        <v>4.85</v>
      </c>
    </row>
    <row r="132" hidden="1" spans="1:9">
      <c r="A132" s="11" t="s">
        <v>68</v>
      </c>
      <c r="B132" s="11" t="s">
        <v>9</v>
      </c>
      <c r="C132">
        <v>19</v>
      </c>
      <c r="D132" t="s">
        <v>14</v>
      </c>
      <c r="E132" s="12">
        <v>44277</v>
      </c>
      <c r="F132" s="11" t="s">
        <v>13</v>
      </c>
      <c r="G132" s="10">
        <v>58960</v>
      </c>
      <c r="H132" t="s">
        <v>207</v>
      </c>
      <c r="I132" s="11">
        <f ca="1">(TODAY()-E:E)/360</f>
        <v>4.68611111111111</v>
      </c>
    </row>
    <row r="133" hidden="1" spans="1:9">
      <c r="A133" s="11" t="s">
        <v>157</v>
      </c>
      <c r="B133" s="11" t="s">
        <v>16</v>
      </c>
      <c r="C133">
        <v>34</v>
      </c>
      <c r="D133" t="s">
        <v>14</v>
      </c>
      <c r="E133" s="12">
        <v>44594</v>
      </c>
      <c r="F133" s="11" t="s">
        <v>18</v>
      </c>
      <c r="G133" s="10">
        <v>58940</v>
      </c>
      <c r="H133" t="s">
        <v>206</v>
      </c>
      <c r="I133" s="11">
        <f ca="1">(TODAY()-E:E)/360</f>
        <v>3.80555555555556</v>
      </c>
    </row>
    <row r="134" hidden="1" spans="1:9">
      <c r="A134" s="11" t="s">
        <v>38</v>
      </c>
      <c r="B134" s="11" t="s">
        <v>16</v>
      </c>
      <c r="C134">
        <v>34</v>
      </c>
      <c r="D134" t="s">
        <v>14</v>
      </c>
      <c r="E134" s="12">
        <v>44653</v>
      </c>
      <c r="F134" s="11" t="s">
        <v>18</v>
      </c>
      <c r="G134" s="10">
        <v>58940</v>
      </c>
      <c r="H134" t="s">
        <v>207</v>
      </c>
      <c r="I134" s="11">
        <f ca="1">(TODAY()-E:E)/360</f>
        <v>3.64166666666667</v>
      </c>
    </row>
    <row r="135" hidden="1" spans="1:9">
      <c r="A135" s="11" t="s">
        <v>138</v>
      </c>
      <c r="B135" s="11" t="s">
        <v>16</v>
      </c>
      <c r="C135">
        <v>31</v>
      </c>
      <c r="D135" t="s">
        <v>14</v>
      </c>
      <c r="E135" s="12">
        <v>44604</v>
      </c>
      <c r="F135" s="11" t="s">
        <v>24</v>
      </c>
      <c r="G135" s="10">
        <v>58100</v>
      </c>
      <c r="H135" t="s">
        <v>206</v>
      </c>
      <c r="I135" s="11">
        <f ca="1">(TODAY()-E:E)/360</f>
        <v>3.77777777777778</v>
      </c>
    </row>
    <row r="136" hidden="1" spans="1:9">
      <c r="A136" s="11" t="s">
        <v>40</v>
      </c>
      <c r="B136" s="11" t="s">
        <v>16</v>
      </c>
      <c r="C136">
        <v>31</v>
      </c>
      <c r="D136" t="s">
        <v>14</v>
      </c>
      <c r="E136" s="12">
        <v>44663</v>
      </c>
      <c r="F136" s="11" t="s">
        <v>24</v>
      </c>
      <c r="G136" s="10">
        <v>58100</v>
      </c>
      <c r="H136" t="s">
        <v>207</v>
      </c>
      <c r="I136" s="11">
        <f ca="1">(TODAY()-E:E)/360</f>
        <v>3.61388888888889</v>
      </c>
    </row>
    <row r="137" hidden="1" spans="1:9">
      <c r="A137" s="11" t="s">
        <v>159</v>
      </c>
      <c r="B137" s="11" t="s">
        <v>9</v>
      </c>
      <c r="C137">
        <v>21</v>
      </c>
      <c r="D137" t="s">
        <v>14</v>
      </c>
      <c r="E137" s="12">
        <v>44701</v>
      </c>
      <c r="F137" s="11" t="s">
        <v>13</v>
      </c>
      <c r="G137" s="10">
        <v>57090</v>
      </c>
      <c r="H137" t="s">
        <v>206</v>
      </c>
      <c r="I137" s="11">
        <f ca="1">(TODAY()-E:E)/360</f>
        <v>3.50833333333333</v>
      </c>
    </row>
    <row r="138" hidden="1" spans="1:9">
      <c r="A138" s="11" t="s">
        <v>35</v>
      </c>
      <c r="B138" s="11" t="s">
        <v>9</v>
      </c>
      <c r="C138">
        <v>21</v>
      </c>
      <c r="D138" t="s">
        <v>14</v>
      </c>
      <c r="E138" s="12">
        <v>44762</v>
      </c>
      <c r="F138" s="11" t="s">
        <v>13</v>
      </c>
      <c r="G138" s="10">
        <v>57090</v>
      </c>
      <c r="H138" t="s">
        <v>207</v>
      </c>
      <c r="I138" s="11">
        <f ca="1">(TODAY()-E:E)/360</f>
        <v>3.33888888888889</v>
      </c>
    </row>
    <row r="139" spans="1:9">
      <c r="A139" s="11" t="s">
        <v>117</v>
      </c>
      <c r="B139" s="11" t="s">
        <v>16</v>
      </c>
      <c r="C139">
        <v>38</v>
      </c>
      <c r="D139" t="s">
        <v>11</v>
      </c>
      <c r="E139" s="12">
        <v>44268</v>
      </c>
      <c r="F139" s="11" t="s">
        <v>10</v>
      </c>
      <c r="G139" s="10">
        <v>56870</v>
      </c>
      <c r="H139" t="s">
        <v>206</v>
      </c>
      <c r="I139" s="11">
        <f ca="1">(TODAY()-E:E)/360</f>
        <v>4.71111111111111</v>
      </c>
    </row>
    <row r="140" spans="1:9">
      <c r="A140" s="11" t="s">
        <v>85</v>
      </c>
      <c r="B140" s="11" t="s">
        <v>16</v>
      </c>
      <c r="C140">
        <v>38</v>
      </c>
      <c r="D140" t="s">
        <v>11</v>
      </c>
      <c r="E140" s="12">
        <v>44329</v>
      </c>
      <c r="F140" s="11" t="s">
        <v>10</v>
      </c>
      <c r="G140" s="10">
        <v>56870</v>
      </c>
      <c r="H140" t="s">
        <v>207</v>
      </c>
      <c r="I140" s="11">
        <f ca="1">(TODAY()-E:E)/360</f>
        <v>4.54166666666667</v>
      </c>
    </row>
    <row r="141" spans="1:9">
      <c r="A141" s="11" t="s">
        <v>132</v>
      </c>
      <c r="B141" s="11" t="s">
        <v>9</v>
      </c>
      <c r="C141">
        <v>27</v>
      </c>
      <c r="D141" t="s">
        <v>14</v>
      </c>
      <c r="E141" s="12">
        <v>44073</v>
      </c>
      <c r="F141" s="11" t="s">
        <v>10</v>
      </c>
      <c r="G141" s="10">
        <v>54970</v>
      </c>
      <c r="H141" t="s">
        <v>206</v>
      </c>
      <c r="I141" s="11">
        <f ca="1">(TODAY()-E:E)/360</f>
        <v>5.25277777777778</v>
      </c>
    </row>
    <row r="142" spans="1:9">
      <c r="A142" s="11" t="s">
        <v>83</v>
      </c>
      <c r="B142" s="11" t="s">
        <v>9</v>
      </c>
      <c r="C142">
        <v>27</v>
      </c>
      <c r="D142" t="s">
        <v>14</v>
      </c>
      <c r="E142" s="12">
        <v>44134</v>
      </c>
      <c r="F142" s="11" t="s">
        <v>10</v>
      </c>
      <c r="G142" s="10">
        <v>54970</v>
      </c>
      <c r="H142" t="s">
        <v>207</v>
      </c>
      <c r="I142" s="11">
        <f ca="1">(TODAY()-E:E)/360</f>
        <v>5.08333333333333</v>
      </c>
    </row>
    <row r="143" hidden="1" spans="1:9">
      <c r="A143" s="11" t="s">
        <v>197</v>
      </c>
      <c r="B143" s="11" t="s">
        <v>9</v>
      </c>
      <c r="C143">
        <v>33</v>
      </c>
      <c r="D143" t="s">
        <v>14</v>
      </c>
      <c r="E143" s="12">
        <v>44448</v>
      </c>
      <c r="F143" s="11" t="s">
        <v>24</v>
      </c>
      <c r="G143" s="10">
        <v>53870</v>
      </c>
      <c r="H143" t="s">
        <v>206</v>
      </c>
      <c r="I143" s="11">
        <f ca="1">(TODAY()-E:E)/360</f>
        <v>4.21111111111111</v>
      </c>
    </row>
    <row r="144" hidden="1" spans="1:9">
      <c r="A144" s="11" t="s">
        <v>25</v>
      </c>
      <c r="B144" s="11" t="s">
        <v>9</v>
      </c>
      <c r="C144">
        <v>33</v>
      </c>
      <c r="D144" t="s">
        <v>14</v>
      </c>
      <c r="E144" s="12">
        <v>44509</v>
      </c>
      <c r="F144" s="11" t="s">
        <v>24</v>
      </c>
      <c r="G144" s="10">
        <v>53870</v>
      </c>
      <c r="H144" t="s">
        <v>207</v>
      </c>
      <c r="I144" s="11">
        <f ca="1">(TODAY()-E:E)/360</f>
        <v>4.04166666666667</v>
      </c>
    </row>
    <row r="145" spans="1:9">
      <c r="A145" s="11" t="s">
        <v>173</v>
      </c>
      <c r="B145" s="11" t="s">
        <v>9</v>
      </c>
      <c r="C145">
        <v>32</v>
      </c>
      <c r="D145" t="s">
        <v>14</v>
      </c>
      <c r="E145" s="12">
        <v>44403</v>
      </c>
      <c r="F145" s="11" t="s">
        <v>10</v>
      </c>
      <c r="G145" s="10">
        <v>53540</v>
      </c>
      <c r="H145" t="s">
        <v>206</v>
      </c>
      <c r="I145" s="11">
        <f ca="1">(TODAY()-E:E)/360</f>
        <v>4.33611111111111</v>
      </c>
    </row>
    <row r="146" hidden="1" spans="1:9">
      <c r="A146" s="11" t="s">
        <v>181</v>
      </c>
      <c r="B146" s="11" t="s">
        <v>9</v>
      </c>
      <c r="C146">
        <v>26</v>
      </c>
      <c r="D146" t="s">
        <v>14</v>
      </c>
      <c r="E146" s="12">
        <v>44350</v>
      </c>
      <c r="F146" s="11" t="s">
        <v>13</v>
      </c>
      <c r="G146" s="10">
        <v>53540</v>
      </c>
      <c r="H146" t="s">
        <v>206</v>
      </c>
      <c r="I146" s="11">
        <f ca="1">(TODAY()-E:E)/360</f>
        <v>4.48333333333333</v>
      </c>
    </row>
    <row r="147" spans="1:9">
      <c r="A147" s="11" t="s">
        <v>20</v>
      </c>
      <c r="B147" s="11" t="s">
        <v>9</v>
      </c>
      <c r="C147">
        <v>32</v>
      </c>
      <c r="D147" t="s">
        <v>14</v>
      </c>
      <c r="E147" s="12">
        <v>44465</v>
      </c>
      <c r="F147" s="11" t="s">
        <v>10</v>
      </c>
      <c r="G147" s="10">
        <v>53540</v>
      </c>
      <c r="H147" t="s">
        <v>207</v>
      </c>
      <c r="I147" s="11">
        <f ca="1">(TODAY()-E:E)/360</f>
        <v>4.16388888888889</v>
      </c>
    </row>
    <row r="148" hidden="1" spans="1:9">
      <c r="A148" s="11" t="s">
        <v>110</v>
      </c>
      <c r="B148" s="11" t="s">
        <v>9</v>
      </c>
      <c r="C148">
        <v>26</v>
      </c>
      <c r="D148" t="s">
        <v>14</v>
      </c>
      <c r="E148" s="12">
        <v>44411</v>
      </c>
      <c r="F148" s="11" t="s">
        <v>13</v>
      </c>
      <c r="G148" s="10">
        <v>53540</v>
      </c>
      <c r="H148" t="s">
        <v>207</v>
      </c>
      <c r="I148" s="11">
        <f ca="1">(TODAY()-E:E)/360</f>
        <v>4.31388888888889</v>
      </c>
    </row>
    <row r="149" spans="1:9">
      <c r="A149" s="11" t="s">
        <v>153</v>
      </c>
      <c r="B149" s="11" t="s">
        <v>16</v>
      </c>
      <c r="C149">
        <v>28</v>
      </c>
      <c r="D149" t="s">
        <v>14</v>
      </c>
      <c r="E149" s="12">
        <v>44296</v>
      </c>
      <c r="F149" s="11" t="s">
        <v>10</v>
      </c>
      <c r="G149" s="10">
        <v>53240</v>
      </c>
      <c r="H149" t="s">
        <v>206</v>
      </c>
      <c r="I149" s="11">
        <f ca="1">(TODAY()-E:E)/360</f>
        <v>4.63333333333333</v>
      </c>
    </row>
    <row r="150" spans="1:9">
      <c r="A150" s="11" t="s">
        <v>15</v>
      </c>
      <c r="B150" s="11" t="s">
        <v>16</v>
      </c>
      <c r="C150">
        <v>28</v>
      </c>
      <c r="D150" t="s">
        <v>14</v>
      </c>
      <c r="E150" s="12">
        <v>44357</v>
      </c>
      <c r="F150" s="11" t="s">
        <v>10</v>
      </c>
      <c r="G150" s="10">
        <v>53240</v>
      </c>
      <c r="H150" t="s">
        <v>207</v>
      </c>
      <c r="I150" s="11">
        <f ca="1">(TODAY()-E:E)/360</f>
        <v>4.46388888888889</v>
      </c>
    </row>
    <row r="151" hidden="1" spans="1:9">
      <c r="A151" s="11" t="s">
        <v>146</v>
      </c>
      <c r="B151" s="11" t="s">
        <v>9</v>
      </c>
      <c r="C151">
        <v>24</v>
      </c>
      <c r="D151" t="s">
        <v>19</v>
      </c>
      <c r="E151" s="12">
        <v>44375</v>
      </c>
      <c r="F151" s="11" t="s">
        <v>18</v>
      </c>
      <c r="G151" s="10">
        <v>52610</v>
      </c>
      <c r="H151" t="s">
        <v>206</v>
      </c>
      <c r="I151" s="11">
        <f ca="1">(TODAY()-E:E)/360</f>
        <v>4.41388888888889</v>
      </c>
    </row>
    <row r="152" hidden="1" spans="1:9">
      <c r="A152" s="11" t="s">
        <v>59</v>
      </c>
      <c r="B152" s="11" t="s">
        <v>9</v>
      </c>
      <c r="C152">
        <v>24</v>
      </c>
      <c r="D152" t="s">
        <v>19</v>
      </c>
      <c r="E152" s="12">
        <v>44436</v>
      </c>
      <c r="F152" s="11" t="s">
        <v>18</v>
      </c>
      <c r="G152" s="10">
        <v>52610</v>
      </c>
      <c r="H152" t="s">
        <v>207</v>
      </c>
      <c r="I152" s="11">
        <f ca="1">(TODAY()-E:E)/360</f>
        <v>4.24444444444444</v>
      </c>
    </row>
    <row r="153" spans="1:9">
      <c r="A153" s="11" t="s">
        <v>127</v>
      </c>
      <c r="B153" s="11" t="s">
        <v>16</v>
      </c>
      <c r="C153">
        <v>34</v>
      </c>
      <c r="D153" t="s">
        <v>19</v>
      </c>
      <c r="E153" s="12">
        <v>44660</v>
      </c>
      <c r="F153" s="11" t="s">
        <v>10</v>
      </c>
      <c r="G153" s="10">
        <v>49630</v>
      </c>
      <c r="H153" t="s">
        <v>206</v>
      </c>
      <c r="I153" s="11">
        <f ca="1">(TODAY()-E:E)/360</f>
        <v>3.62222222222222</v>
      </c>
    </row>
    <row r="154" spans="1:9">
      <c r="A154" s="11" t="s">
        <v>54</v>
      </c>
      <c r="B154" s="11" t="s">
        <v>16</v>
      </c>
      <c r="C154">
        <v>34</v>
      </c>
      <c r="D154" t="s">
        <v>19</v>
      </c>
      <c r="E154" s="12">
        <v>44721</v>
      </c>
      <c r="F154" s="11" t="s">
        <v>10</v>
      </c>
      <c r="G154" s="10">
        <v>49630</v>
      </c>
      <c r="H154" t="s">
        <v>207</v>
      </c>
      <c r="I154" s="11">
        <f ca="1">(TODAY()-E:E)/360</f>
        <v>3.45277777777778</v>
      </c>
    </row>
    <row r="155" hidden="1" spans="1:9">
      <c r="A155" s="11" t="s">
        <v>151</v>
      </c>
      <c r="B155" s="11" t="s">
        <v>9</v>
      </c>
      <c r="C155">
        <v>27</v>
      </c>
      <c r="D155" t="s">
        <v>14</v>
      </c>
      <c r="E155" s="12">
        <v>44506</v>
      </c>
      <c r="F155" s="11" t="s">
        <v>18</v>
      </c>
      <c r="G155" s="10">
        <v>48980</v>
      </c>
      <c r="H155" t="s">
        <v>206</v>
      </c>
      <c r="I155" s="11">
        <f ca="1">(TODAY()-E:E)/360</f>
        <v>4.05</v>
      </c>
    </row>
    <row r="156" hidden="1" spans="1:9">
      <c r="A156" s="11" t="s">
        <v>41</v>
      </c>
      <c r="B156" s="11" t="s">
        <v>9</v>
      </c>
      <c r="C156">
        <v>27</v>
      </c>
      <c r="D156" t="s">
        <v>14</v>
      </c>
      <c r="E156" s="12">
        <v>44567</v>
      </c>
      <c r="F156" s="11" t="s">
        <v>18</v>
      </c>
      <c r="G156" s="10">
        <v>48980</v>
      </c>
      <c r="H156" t="s">
        <v>207</v>
      </c>
      <c r="I156" s="11">
        <f ca="1">(TODAY()-E:E)/360</f>
        <v>3.88055555555556</v>
      </c>
    </row>
    <row r="157" hidden="1" spans="1:9">
      <c r="A157" s="11" t="s">
        <v>169</v>
      </c>
      <c r="B157" s="11" t="s">
        <v>9</v>
      </c>
      <c r="C157">
        <v>31</v>
      </c>
      <c r="D157" t="s">
        <v>14</v>
      </c>
      <c r="E157" s="12">
        <v>44450</v>
      </c>
      <c r="F157" s="11" t="s">
        <v>24</v>
      </c>
      <c r="G157" s="10">
        <v>48950</v>
      </c>
      <c r="H157" t="s">
        <v>206</v>
      </c>
      <c r="I157" s="11">
        <f ca="1">(TODAY()-E:E)/360</f>
        <v>4.20555555555556</v>
      </c>
    </row>
    <row r="158" hidden="1" spans="1:9">
      <c r="A158" s="11" t="s">
        <v>58</v>
      </c>
      <c r="B158" s="11" t="s">
        <v>9</v>
      </c>
      <c r="C158">
        <v>31</v>
      </c>
      <c r="D158" t="s">
        <v>14</v>
      </c>
      <c r="E158" s="12">
        <v>44511</v>
      </c>
      <c r="F158" s="11" t="s">
        <v>24</v>
      </c>
      <c r="G158" s="10">
        <v>48950</v>
      </c>
      <c r="H158" t="s">
        <v>207</v>
      </c>
      <c r="I158" s="11">
        <f ca="1">(TODAY()-E:E)/360</f>
        <v>4.03611111111111</v>
      </c>
    </row>
    <row r="159" hidden="1" spans="1:9">
      <c r="A159" s="11" t="s">
        <v>202</v>
      </c>
      <c r="B159" s="11" t="s">
        <v>9</v>
      </c>
      <c r="C159">
        <v>33</v>
      </c>
      <c r="D159" t="s">
        <v>11</v>
      </c>
      <c r="E159" s="12">
        <v>44640</v>
      </c>
      <c r="F159" s="11" t="s">
        <v>13</v>
      </c>
      <c r="G159" s="10">
        <v>48530</v>
      </c>
      <c r="H159" t="s">
        <v>206</v>
      </c>
      <c r="I159" s="11">
        <f ca="1">(TODAY()-E:E)/360</f>
        <v>3.67777777777778</v>
      </c>
    </row>
    <row r="160" hidden="1" spans="1:9">
      <c r="A160" s="11" t="s">
        <v>22</v>
      </c>
      <c r="B160" s="11" t="s">
        <v>9</v>
      </c>
      <c r="C160">
        <v>33</v>
      </c>
      <c r="D160" t="s">
        <v>11</v>
      </c>
      <c r="E160" s="12">
        <v>44701</v>
      </c>
      <c r="F160" s="11" t="s">
        <v>13</v>
      </c>
      <c r="G160" s="10">
        <v>48530</v>
      </c>
      <c r="H160" t="s">
        <v>207</v>
      </c>
      <c r="I160" s="11">
        <f ca="1">(TODAY()-E:E)/360</f>
        <v>3.50833333333333</v>
      </c>
    </row>
    <row r="161" hidden="1" spans="1:9">
      <c r="A161" s="11" t="s">
        <v>124</v>
      </c>
      <c r="B161" s="11" t="s">
        <v>9</v>
      </c>
      <c r="C161">
        <v>28</v>
      </c>
      <c r="D161" t="s">
        <v>11</v>
      </c>
      <c r="E161" s="12">
        <v>43980</v>
      </c>
      <c r="F161" s="11" t="s">
        <v>18</v>
      </c>
      <c r="G161" s="10">
        <v>48170</v>
      </c>
      <c r="H161" t="s">
        <v>206</v>
      </c>
      <c r="I161" s="11">
        <f ca="1">(TODAY()-E:E)/360</f>
        <v>5.51111111111111</v>
      </c>
    </row>
    <row r="162" hidden="1" spans="1:9">
      <c r="A162" s="11" t="s">
        <v>70</v>
      </c>
      <c r="B162" s="11" t="s">
        <v>9</v>
      </c>
      <c r="C162">
        <v>28</v>
      </c>
      <c r="D162" t="s">
        <v>11</v>
      </c>
      <c r="E162" s="12">
        <v>44041</v>
      </c>
      <c r="F162" s="11" t="s">
        <v>18</v>
      </c>
      <c r="G162" s="10">
        <v>48170</v>
      </c>
      <c r="H162" t="s">
        <v>207</v>
      </c>
      <c r="I162" s="11">
        <f ca="1">(TODAY()-E:E)/360</f>
        <v>5.34166666666667</v>
      </c>
    </row>
    <row r="163" hidden="1" spans="1:9">
      <c r="A163" s="11" t="s">
        <v>142</v>
      </c>
      <c r="B163" s="11" t="s">
        <v>9</v>
      </c>
      <c r="C163">
        <v>26</v>
      </c>
      <c r="D163" t="s">
        <v>14</v>
      </c>
      <c r="E163" s="12">
        <v>44164</v>
      </c>
      <c r="F163" s="11" t="s">
        <v>13</v>
      </c>
      <c r="G163" s="10">
        <v>47360</v>
      </c>
      <c r="H163" t="s">
        <v>206</v>
      </c>
      <c r="I163" s="11">
        <f ca="1">(TODAY()-E:E)/360</f>
        <v>5</v>
      </c>
    </row>
    <row r="164" hidden="1" spans="1:9">
      <c r="A164" s="11" t="s">
        <v>88</v>
      </c>
      <c r="B164" s="11" t="s">
        <v>9</v>
      </c>
      <c r="C164">
        <v>26</v>
      </c>
      <c r="D164" t="s">
        <v>14</v>
      </c>
      <c r="E164" s="12">
        <v>44225</v>
      </c>
      <c r="F164" s="11" t="s">
        <v>13</v>
      </c>
      <c r="G164" s="10">
        <v>47360</v>
      </c>
      <c r="H164" t="s">
        <v>207</v>
      </c>
      <c r="I164" s="11">
        <f ca="1">(TODAY()-E:E)/360</f>
        <v>4.83055555555556</v>
      </c>
    </row>
    <row r="165" hidden="1" spans="1:9">
      <c r="A165" s="11" t="s">
        <v>115</v>
      </c>
      <c r="B165" s="11" t="s">
        <v>16</v>
      </c>
      <c r="C165">
        <v>32</v>
      </c>
      <c r="D165" t="s">
        <v>14</v>
      </c>
      <c r="E165" s="12">
        <v>44339</v>
      </c>
      <c r="F165" s="11" t="s">
        <v>27</v>
      </c>
      <c r="G165" s="10">
        <v>45510</v>
      </c>
      <c r="H165" t="s">
        <v>206</v>
      </c>
      <c r="I165" s="11">
        <f ca="1">(TODAY()-E:E)/360</f>
        <v>4.51388888888889</v>
      </c>
    </row>
    <row r="166" hidden="1" spans="1:9">
      <c r="A166" s="11" t="s">
        <v>71</v>
      </c>
      <c r="B166" s="11" t="s">
        <v>16</v>
      </c>
      <c r="C166">
        <v>32</v>
      </c>
      <c r="D166" t="s">
        <v>14</v>
      </c>
      <c r="E166" s="12">
        <v>44400</v>
      </c>
      <c r="F166" s="11" t="s">
        <v>27</v>
      </c>
      <c r="G166" s="10">
        <v>45510</v>
      </c>
      <c r="H166" t="s">
        <v>207</v>
      </c>
      <c r="I166" s="11">
        <f ca="1">(TODAY()-E:E)/360</f>
        <v>4.34444444444444</v>
      </c>
    </row>
    <row r="167" hidden="1" spans="1:9">
      <c r="A167" s="11" t="s">
        <v>113</v>
      </c>
      <c r="B167" s="11" t="s">
        <v>16</v>
      </c>
      <c r="C167">
        <v>32</v>
      </c>
      <c r="D167" t="s">
        <v>11</v>
      </c>
      <c r="E167" s="12">
        <v>44293</v>
      </c>
      <c r="F167" s="11" t="s">
        <v>24</v>
      </c>
      <c r="G167" s="10">
        <v>43840</v>
      </c>
      <c r="H167" t="s">
        <v>206</v>
      </c>
      <c r="I167" s="11">
        <f ca="1">(TODAY()-E:E)/360</f>
        <v>4.64166666666667</v>
      </c>
    </row>
    <row r="168" hidden="1" spans="1:9">
      <c r="A168" s="11" t="s">
        <v>32</v>
      </c>
      <c r="B168" s="11" t="s">
        <v>16</v>
      </c>
      <c r="C168">
        <v>32</v>
      </c>
      <c r="D168" t="s">
        <v>11</v>
      </c>
      <c r="E168" s="12">
        <v>44354</v>
      </c>
      <c r="F168" s="11" t="s">
        <v>24</v>
      </c>
      <c r="G168" s="10">
        <v>43840</v>
      </c>
      <c r="H168" t="s">
        <v>207</v>
      </c>
      <c r="I168" s="11">
        <f ca="1">(TODAY()-E:E)/360</f>
        <v>4.47222222222222</v>
      </c>
    </row>
    <row r="169" spans="1:9">
      <c r="A169" s="11" t="s">
        <v>174</v>
      </c>
      <c r="B169" s="11" t="s">
        <v>9</v>
      </c>
      <c r="C169">
        <v>28</v>
      </c>
      <c r="D169" t="s">
        <v>50</v>
      </c>
      <c r="E169" s="12">
        <v>44758</v>
      </c>
      <c r="F169" s="11" t="s">
        <v>10</v>
      </c>
      <c r="G169" s="10">
        <v>43510</v>
      </c>
      <c r="H169" t="s">
        <v>206</v>
      </c>
      <c r="I169" s="11">
        <f ca="1">(TODAY()-E:E)/360</f>
        <v>3.35</v>
      </c>
    </row>
    <row r="170" spans="1:9">
      <c r="A170" s="11" t="s">
        <v>102</v>
      </c>
      <c r="B170" s="11" t="s">
        <v>9</v>
      </c>
      <c r="C170">
        <v>28</v>
      </c>
      <c r="D170" t="s">
        <v>50</v>
      </c>
      <c r="E170" s="12">
        <v>44820</v>
      </c>
      <c r="F170" s="11" t="s">
        <v>10</v>
      </c>
      <c r="G170" s="10">
        <v>43510</v>
      </c>
      <c r="H170" t="s">
        <v>207</v>
      </c>
      <c r="I170" s="11">
        <f ca="1">(TODAY()-E:E)/360</f>
        <v>3.17777777777778</v>
      </c>
    </row>
    <row r="171" hidden="1" spans="1:9">
      <c r="A171" s="11" t="s">
        <v>177</v>
      </c>
      <c r="B171" s="11" t="s">
        <v>16</v>
      </c>
      <c r="C171">
        <v>31</v>
      </c>
      <c r="D171" t="s">
        <v>14</v>
      </c>
      <c r="E171" s="12">
        <v>44084</v>
      </c>
      <c r="F171" s="11" t="s">
        <v>24</v>
      </c>
      <c r="G171" s="10">
        <v>41980</v>
      </c>
      <c r="H171" t="s">
        <v>206</v>
      </c>
      <c r="I171" s="11">
        <f ca="1">(TODAY()-E:E)/360</f>
        <v>5.22222222222222</v>
      </c>
    </row>
    <row r="172" hidden="1" spans="1:9">
      <c r="A172" s="11" t="s">
        <v>36</v>
      </c>
      <c r="B172" s="11" t="s">
        <v>16</v>
      </c>
      <c r="C172">
        <v>31</v>
      </c>
      <c r="D172" t="s">
        <v>14</v>
      </c>
      <c r="E172" s="12">
        <v>44145</v>
      </c>
      <c r="F172" s="11" t="s">
        <v>24</v>
      </c>
      <c r="G172" s="10">
        <v>41980</v>
      </c>
      <c r="H172" t="s">
        <v>207</v>
      </c>
      <c r="I172" s="11">
        <f ca="1">(TODAY()-E:E)/360</f>
        <v>5.05277777777778</v>
      </c>
    </row>
    <row r="173" hidden="1" spans="1:9">
      <c r="A173" s="11" t="s">
        <v>140</v>
      </c>
      <c r="B173" s="11" t="s">
        <v>16</v>
      </c>
      <c r="C173">
        <v>32</v>
      </c>
      <c r="D173" t="s">
        <v>14</v>
      </c>
      <c r="E173" s="12">
        <v>44549</v>
      </c>
      <c r="F173" s="11" t="s">
        <v>13</v>
      </c>
      <c r="G173" s="10">
        <v>41570</v>
      </c>
      <c r="H173" t="s">
        <v>206</v>
      </c>
      <c r="I173" s="11">
        <f ca="1">(TODAY()-E:E)/360</f>
        <v>3.93055555555556</v>
      </c>
    </row>
    <row r="174" hidden="1" spans="1:9">
      <c r="A174" s="11" t="s">
        <v>105</v>
      </c>
      <c r="B174" s="11" t="s">
        <v>16</v>
      </c>
      <c r="C174">
        <v>32</v>
      </c>
      <c r="D174" t="s">
        <v>14</v>
      </c>
      <c r="E174" s="12">
        <v>44611</v>
      </c>
      <c r="F174" s="11" t="s">
        <v>13</v>
      </c>
      <c r="G174" s="10">
        <v>41570</v>
      </c>
      <c r="H174" t="s">
        <v>207</v>
      </c>
      <c r="I174" s="11">
        <f ca="1">(TODAY()-E:E)/360</f>
        <v>3.75833333333333</v>
      </c>
    </row>
    <row r="175" hidden="1" spans="1:9">
      <c r="A175" s="11" t="s">
        <v>136</v>
      </c>
      <c r="B175" s="11" t="s">
        <v>9</v>
      </c>
      <c r="C175">
        <v>35</v>
      </c>
      <c r="D175" t="s">
        <v>14</v>
      </c>
      <c r="E175" s="12">
        <v>44666</v>
      </c>
      <c r="F175" s="11" t="s">
        <v>13</v>
      </c>
      <c r="G175" s="10">
        <v>40400</v>
      </c>
      <c r="H175" t="s">
        <v>206</v>
      </c>
      <c r="I175" s="11">
        <f ca="1">(TODAY()-E:E)/360</f>
        <v>3.60555555555556</v>
      </c>
    </row>
    <row r="176" hidden="1" spans="1:9">
      <c r="A176" s="11" t="s">
        <v>96</v>
      </c>
      <c r="B176" s="11" t="s">
        <v>9</v>
      </c>
      <c r="C176">
        <v>35</v>
      </c>
      <c r="D176" t="s">
        <v>14</v>
      </c>
      <c r="E176" s="12">
        <v>44727</v>
      </c>
      <c r="F176" s="11" t="s">
        <v>13</v>
      </c>
      <c r="G176" s="10">
        <v>40400</v>
      </c>
      <c r="H176" t="s">
        <v>207</v>
      </c>
      <c r="I176" s="11">
        <f ca="1">(TODAY()-E:E)/360</f>
        <v>3.43611111111111</v>
      </c>
    </row>
    <row r="177" hidden="1" spans="1:9">
      <c r="A177" s="11" t="s">
        <v>125</v>
      </c>
      <c r="B177" s="11" t="s">
        <v>9</v>
      </c>
      <c r="C177">
        <v>21</v>
      </c>
      <c r="D177" t="s">
        <v>14</v>
      </c>
      <c r="E177" s="12">
        <v>44042</v>
      </c>
      <c r="F177" s="11" t="s">
        <v>13</v>
      </c>
      <c r="G177" s="10">
        <v>37920</v>
      </c>
      <c r="H177" t="s">
        <v>206</v>
      </c>
      <c r="I177" s="11">
        <f ca="1">(TODAY()-E:E)/360</f>
        <v>5.33888888888889</v>
      </c>
    </row>
    <row r="178" hidden="1" spans="1:9">
      <c r="A178" s="11" t="s">
        <v>34</v>
      </c>
      <c r="B178" s="11" t="s">
        <v>9</v>
      </c>
      <c r="C178">
        <v>21</v>
      </c>
      <c r="D178" t="s">
        <v>14</v>
      </c>
      <c r="E178" s="12">
        <v>44104</v>
      </c>
      <c r="F178" s="11" t="s">
        <v>13</v>
      </c>
      <c r="G178" s="10">
        <v>37920</v>
      </c>
      <c r="H178" t="s">
        <v>207</v>
      </c>
      <c r="I178" s="11">
        <f ca="1">(TODAY()-E:E)/360</f>
        <v>5.16666666666667</v>
      </c>
    </row>
    <row r="179" spans="1:9">
      <c r="A179" s="11" t="s">
        <v>134</v>
      </c>
      <c r="B179" s="11" t="s">
        <v>9</v>
      </c>
      <c r="C179">
        <v>43</v>
      </c>
      <c r="D179" t="s">
        <v>14</v>
      </c>
      <c r="E179" s="12">
        <v>44558</v>
      </c>
      <c r="F179" s="11" t="s">
        <v>10</v>
      </c>
      <c r="G179" s="10">
        <v>36040</v>
      </c>
      <c r="H179" t="s">
        <v>206</v>
      </c>
      <c r="I179" s="11">
        <f ca="1">(TODAY()-E:E)/360</f>
        <v>3.90555555555556</v>
      </c>
    </row>
    <row r="180" spans="1:9">
      <c r="A180" s="11" t="s">
        <v>98</v>
      </c>
      <c r="B180" s="11" t="s">
        <v>9</v>
      </c>
      <c r="C180">
        <v>43</v>
      </c>
      <c r="D180" t="s">
        <v>14</v>
      </c>
      <c r="E180" s="12">
        <v>44620</v>
      </c>
      <c r="F180" s="11" t="s">
        <v>10</v>
      </c>
      <c r="G180" s="10">
        <v>36040</v>
      </c>
      <c r="H180" t="s">
        <v>207</v>
      </c>
      <c r="I180" s="11">
        <f ca="1">(TODAY()-E:E)/360</f>
        <v>3.73333333333333</v>
      </c>
    </row>
    <row r="181" hidden="1" spans="1:9">
      <c r="A181" s="11" t="s">
        <v>192</v>
      </c>
      <c r="B181" s="11" t="s">
        <v>16</v>
      </c>
      <c r="C181">
        <v>29</v>
      </c>
      <c r="D181" t="s">
        <v>14</v>
      </c>
      <c r="E181" s="12">
        <v>43962</v>
      </c>
      <c r="F181" s="11" t="s">
        <v>24</v>
      </c>
      <c r="G181" s="10">
        <v>34980</v>
      </c>
      <c r="H181" t="s">
        <v>206</v>
      </c>
      <c r="I181" s="11">
        <f ca="1">(TODAY()-E:E)/360</f>
        <v>5.56111111111111</v>
      </c>
    </row>
    <row r="182" hidden="1" spans="1:9">
      <c r="A182" s="11" t="s">
        <v>46</v>
      </c>
      <c r="B182" s="11" t="s">
        <v>16</v>
      </c>
      <c r="C182">
        <v>29</v>
      </c>
      <c r="D182" t="s">
        <v>14</v>
      </c>
      <c r="E182" s="12">
        <v>44023</v>
      </c>
      <c r="F182" s="11" t="s">
        <v>24</v>
      </c>
      <c r="G182" s="10">
        <v>34980</v>
      </c>
      <c r="H182" t="s">
        <v>207</v>
      </c>
      <c r="I182" s="11">
        <f ca="1">(TODAY()-E:E)/360</f>
        <v>5.39166666666667</v>
      </c>
    </row>
    <row r="183" hidden="1" spans="1:9">
      <c r="A183" s="11" t="s">
        <v>155</v>
      </c>
      <c r="B183" s="11" t="s">
        <v>16</v>
      </c>
      <c r="C183">
        <v>21</v>
      </c>
      <c r="D183" t="s">
        <v>14</v>
      </c>
      <c r="E183" s="12">
        <v>44619</v>
      </c>
      <c r="F183" s="11" t="s">
        <v>24</v>
      </c>
      <c r="G183" s="10">
        <v>33920</v>
      </c>
      <c r="H183" t="s">
        <v>206</v>
      </c>
      <c r="I183" s="11">
        <f ca="1">(TODAY()-E:E)/360</f>
        <v>3.73611111111111</v>
      </c>
    </row>
    <row r="184" hidden="1" spans="1:9">
      <c r="A184" s="11" t="s">
        <v>94</v>
      </c>
      <c r="B184" s="11" t="s">
        <v>16</v>
      </c>
      <c r="C184">
        <v>21</v>
      </c>
      <c r="D184" t="s">
        <v>14</v>
      </c>
      <c r="E184" s="12">
        <v>44678</v>
      </c>
      <c r="F184" s="11" t="s">
        <v>24</v>
      </c>
      <c r="G184" s="10">
        <v>33920</v>
      </c>
      <c r="H184" t="s">
        <v>207</v>
      </c>
      <c r="I184" s="11">
        <f ca="1">(TODAY()-E:E)/360</f>
        <v>3.57222222222222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9"/>
  <sheetViews>
    <sheetView zoomScale="70" zoomScaleNormal="70" workbookViewId="0">
      <selection activeCell="H31" sqref="H31"/>
    </sheetView>
  </sheetViews>
  <sheetFormatPr defaultColWidth="9" defaultRowHeight="14.5" outlineLevelCol="3"/>
  <cols>
    <col min="2" max="2" width="28.1818181818182" customWidth="1"/>
    <col min="3" max="3" width="13.1818181818182" customWidth="1"/>
    <col min="4" max="4" width="11.0909090909091" customWidth="1"/>
  </cols>
  <sheetData>
    <row r="1" spans="2:4">
      <c r="B1" s="1" t="s">
        <v>1</v>
      </c>
      <c r="C1" s="2" t="s">
        <v>7</v>
      </c>
      <c r="D1" s="3" t="s">
        <v>6</v>
      </c>
    </row>
    <row r="2" spans="2:4">
      <c r="B2" s="4" t="s">
        <v>149</v>
      </c>
      <c r="C2" s="5" t="s">
        <v>11</v>
      </c>
      <c r="D2" s="6">
        <v>112780</v>
      </c>
    </row>
    <row r="3" spans="2:4">
      <c r="B3" s="7" t="s">
        <v>8</v>
      </c>
      <c r="C3" s="8" t="s">
        <v>11</v>
      </c>
      <c r="D3" s="9">
        <v>112780</v>
      </c>
    </row>
    <row r="4" spans="2:4">
      <c r="B4" s="4" t="s">
        <v>175</v>
      </c>
      <c r="C4" s="5" t="s">
        <v>44</v>
      </c>
      <c r="D4" s="6">
        <v>109160</v>
      </c>
    </row>
    <row r="5" spans="2:4">
      <c r="B5" s="7" t="s">
        <v>75</v>
      </c>
      <c r="C5" s="8" t="s">
        <v>44</v>
      </c>
      <c r="D5" s="9">
        <v>109160</v>
      </c>
    </row>
    <row r="6" spans="2:4">
      <c r="B6" s="4" t="s">
        <v>118</v>
      </c>
      <c r="C6" s="5" t="s">
        <v>14</v>
      </c>
      <c r="D6" s="6">
        <v>92700</v>
      </c>
    </row>
    <row r="7" spans="2:4">
      <c r="B7" s="7" t="s">
        <v>86</v>
      </c>
      <c r="C7" s="8" t="s">
        <v>14</v>
      </c>
      <c r="D7" s="9">
        <v>92700</v>
      </c>
    </row>
    <row r="8" spans="2:4">
      <c r="B8" s="4" t="s">
        <v>198</v>
      </c>
      <c r="C8" s="5" t="s">
        <v>14</v>
      </c>
      <c r="D8" s="6">
        <v>78540</v>
      </c>
    </row>
    <row r="9" spans="2:4">
      <c r="B9" s="7" t="s">
        <v>52</v>
      </c>
      <c r="C9" s="8" t="s">
        <v>14</v>
      </c>
      <c r="D9" s="9">
        <v>78540</v>
      </c>
    </row>
    <row r="10" spans="2:4">
      <c r="B10" s="4" t="s">
        <v>120</v>
      </c>
      <c r="C10" s="5" t="s">
        <v>14</v>
      </c>
      <c r="D10" s="6">
        <v>74550</v>
      </c>
    </row>
    <row r="11" spans="2:4">
      <c r="B11" s="7" t="s">
        <v>107</v>
      </c>
      <c r="C11" s="8" t="s">
        <v>14</v>
      </c>
      <c r="D11" s="9">
        <v>74550</v>
      </c>
    </row>
    <row r="12" spans="2:4">
      <c r="B12" s="4" t="s">
        <v>172</v>
      </c>
      <c r="C12" s="5" t="s">
        <v>19</v>
      </c>
      <c r="D12" s="6">
        <v>68900</v>
      </c>
    </row>
    <row r="13" spans="2:4">
      <c r="B13" s="7" t="s">
        <v>66</v>
      </c>
      <c r="C13" s="8" t="s">
        <v>19</v>
      </c>
      <c r="D13" s="9">
        <v>68900</v>
      </c>
    </row>
    <row r="14" spans="2:4">
      <c r="B14" s="4" t="s">
        <v>195</v>
      </c>
      <c r="C14" s="5" t="s">
        <v>14</v>
      </c>
      <c r="D14" s="6">
        <v>65700</v>
      </c>
    </row>
    <row r="15" spans="2:4">
      <c r="B15" s="7" t="s">
        <v>29</v>
      </c>
      <c r="C15" s="8" t="s">
        <v>14</v>
      </c>
      <c r="D15" s="9">
        <v>65700</v>
      </c>
    </row>
    <row r="16" spans="2:4">
      <c r="B16" s="4" t="s">
        <v>117</v>
      </c>
      <c r="C16" s="5" t="s">
        <v>11</v>
      </c>
      <c r="D16" s="6">
        <v>56870</v>
      </c>
    </row>
    <row r="17" spans="2:4">
      <c r="B17" s="7" t="s">
        <v>85</v>
      </c>
      <c r="C17" s="8" t="s">
        <v>11</v>
      </c>
      <c r="D17" s="9">
        <v>56870</v>
      </c>
    </row>
    <row r="18" spans="2:4">
      <c r="B18" s="4" t="s">
        <v>132</v>
      </c>
      <c r="C18" s="5" t="s">
        <v>14</v>
      </c>
      <c r="D18" s="6">
        <v>54970</v>
      </c>
    </row>
    <row r="19" spans="2:4">
      <c r="B19" s="7" t="s">
        <v>83</v>
      </c>
      <c r="C19" s="8" t="s">
        <v>14</v>
      </c>
      <c r="D19" s="9">
        <v>54970</v>
      </c>
    </row>
    <row r="20" spans="2:4">
      <c r="B20" s="4" t="s">
        <v>173</v>
      </c>
      <c r="C20" s="5" t="s">
        <v>14</v>
      </c>
      <c r="D20" s="6">
        <v>53540</v>
      </c>
    </row>
    <row r="21" spans="2:4">
      <c r="B21" s="7" t="s">
        <v>20</v>
      </c>
      <c r="C21" s="8" t="s">
        <v>14</v>
      </c>
      <c r="D21" s="9">
        <v>53540</v>
      </c>
    </row>
    <row r="22" spans="2:4">
      <c r="B22" s="4" t="s">
        <v>153</v>
      </c>
      <c r="C22" s="5" t="s">
        <v>14</v>
      </c>
      <c r="D22" s="6">
        <v>53240</v>
      </c>
    </row>
    <row r="23" spans="2:4">
      <c r="B23" s="7" t="s">
        <v>15</v>
      </c>
      <c r="C23" s="8" t="s">
        <v>14</v>
      </c>
      <c r="D23" s="9">
        <v>53240</v>
      </c>
    </row>
    <row r="24" spans="2:4">
      <c r="B24" s="4" t="s">
        <v>127</v>
      </c>
      <c r="C24" s="5" t="s">
        <v>19</v>
      </c>
      <c r="D24" s="6">
        <v>49630</v>
      </c>
    </row>
    <row r="25" spans="2:4">
      <c r="B25" s="7" t="s">
        <v>54</v>
      </c>
      <c r="C25" s="8" t="s">
        <v>19</v>
      </c>
      <c r="D25" s="9">
        <v>49630</v>
      </c>
    </row>
    <row r="26" spans="2:4">
      <c r="B26" s="4" t="s">
        <v>174</v>
      </c>
      <c r="C26" s="5" t="s">
        <v>50</v>
      </c>
      <c r="D26" s="6">
        <v>43510</v>
      </c>
    </row>
    <row r="27" spans="2:4">
      <c r="B27" s="7" t="s">
        <v>102</v>
      </c>
      <c r="C27" s="8" t="s">
        <v>50</v>
      </c>
      <c r="D27" s="9">
        <v>43510</v>
      </c>
    </row>
    <row r="28" spans="2:4">
      <c r="B28" s="4" t="s">
        <v>134</v>
      </c>
      <c r="C28" s="5" t="s">
        <v>14</v>
      </c>
      <c r="D28" s="6">
        <v>36040</v>
      </c>
    </row>
    <row r="29" spans="2:4">
      <c r="B29" s="7" t="s">
        <v>98</v>
      </c>
      <c r="C29" s="8" t="s">
        <v>14</v>
      </c>
      <c r="D29" s="9">
        <v>36040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69788E-B2F1-4F8E-9C2B-860BBB3002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nz_staff</vt:lpstr>
      <vt:lpstr>India Staff</vt:lpstr>
      <vt:lpstr>all staff</vt:lpstr>
      <vt:lpstr>sales department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Maneakeberew Tariku</cp:lastModifiedBy>
  <dcterms:created xsi:type="dcterms:W3CDTF">2021-03-14T20:21:00Z</dcterms:created>
  <dcterms:modified xsi:type="dcterms:W3CDTF">2025-11-03T14:23:03Z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0580F637A9D247B7A50B8F3167B1C9D9_13</vt:lpwstr>
  </property>
  <property fmtid="{D5CDD505-2E9C-101B-9397-08002B2CF9AE}" pid="3" name="KSOProductBuildVer">
    <vt:lpwstr>1033-12.2.0.22549</vt:lpwstr>
  </property>
</Properties>
</file>